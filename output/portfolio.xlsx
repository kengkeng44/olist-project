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Cover" sheetId="1" state="visible" r:id="rId1"/>
    <sheet name="2. Executive Summary" sheetId="2" state="visible" r:id="rId2"/>
    <sheet name="3. KPIs" sheetId="3" state="visible" r:id="rId3"/>
    <sheet name="4. Revenue Trend" sheetId="4" state="visible" r:id="rId4"/>
    <sheet name="5. RFM Segments" sheetId="5" state="visible" r:id="rId5"/>
    <sheet name="6. Cohort Heatmap" sheetId="6" state="visible" r:id="rId6"/>
    <sheet name="7. ROI Calculator" sheetId="7" state="visible" r:id="rId7"/>
    <sheet name="8. Installments" sheetId="8" state="visible" r:id="rId8"/>
    <sheet name="9. Logistics" sheetId="9" state="visible" r:id="rId9"/>
    <sheet name="10. Methodology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&quot;×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26"/>
    </font>
    <font>
      <name val="Calibri"/>
      <i val="1"/>
      <color rgb="00595959"/>
      <sz val="14"/>
    </font>
    <font>
      <name val="Calibri"/>
      <b val="1"/>
      <color rgb="001F3A5F"/>
      <sz val="11"/>
    </font>
    <font>
      <name val="Calibri"/>
      <color rgb="00000000"/>
      <sz val="11"/>
    </font>
    <font>
      <name val="Calibri"/>
      <b val="1"/>
      <color rgb="001F3A5F"/>
      <sz val="12"/>
    </font>
    <font>
      <name val="Calibri"/>
      <b val="1"/>
      <color rgb="00FFFFFF"/>
      <sz val="24"/>
    </font>
    <font>
      <name val="Calibri"/>
      <b val="1"/>
      <color rgb="00FFFFFF"/>
      <sz val="11"/>
    </font>
    <font>
      <name val="Calibri"/>
      <color rgb="00000000"/>
      <sz val="9"/>
    </font>
    <font>
      <name val="Calibri"/>
      <b val="1"/>
      <color rgb="00000000"/>
      <sz val="11"/>
    </font>
    <font>
      <name val="Calibri"/>
      <color rgb="000563C1"/>
      <sz val="11"/>
    </font>
    <font>
      <name val="Calibri"/>
      <b val="1"/>
      <color rgb="001F3A5F"/>
      <sz val="20"/>
    </font>
    <font>
      <name val="Calibri"/>
      <i val="1"/>
      <color rgb="00595959"/>
      <sz val="11"/>
    </font>
    <font>
      <name val="Calibri"/>
      <b val="1"/>
      <color rgb="001F3A5F"/>
      <sz val="18"/>
    </font>
    <font>
      <name val="Calibri"/>
      <b val="1"/>
      <color rgb="001F3A5F"/>
      <sz val="14"/>
    </font>
    <font>
      <name val="Calibri"/>
      <b val="1"/>
      <color rgb="00000000"/>
      <sz val="12"/>
    </font>
    <font>
      <name val="Calibri"/>
      <i val="1"/>
      <color rgb="00595959"/>
      <sz val="9"/>
    </font>
    <font>
      <name val="Calibri"/>
      <b val="1"/>
      <color rgb="00FFFFFF"/>
      <sz val="14"/>
    </font>
    <font>
      <name val="Calibri"/>
      <i val="1"/>
      <color rgb="00000000"/>
      <sz val="11"/>
    </font>
    <font>
      <name val="Consolas"/>
      <sz val="9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2F2F2"/>
      </patternFill>
    </fill>
    <fill>
      <patternFill patternType="solid">
        <fgColor rgb="002E8B8B"/>
      </patternFill>
    </fill>
    <fill>
      <patternFill patternType="solid">
        <fgColor rgb="00E07B39"/>
      </patternFill>
    </fill>
    <fill>
      <patternFill patternType="solid">
        <fgColor rgb="00F4D35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E07B39"/>
      </left>
      <right style="medium">
        <color rgb="00E07B39"/>
      </right>
      <top style="medium">
        <color rgb="00E07B39"/>
      </top>
      <bottom style="medium">
        <color rgb="00E07B39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0" borderId="1" pivotButton="0" quotePrefix="0" xfId="0"/>
    <xf numFmtId="0" fontId="1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pivotButton="0" quotePrefix="0" xfId="0"/>
    <xf numFmtId="0" fontId="9" fillId="3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right" vertical="center" wrapText="1"/>
    </xf>
    <xf numFmtId="0" fontId="9" fillId="0" borderId="1" applyAlignment="1" pivotButton="0" quotePrefix="0" xfId="0">
      <alignment horizontal="left" vertical="center" wrapText="1"/>
    </xf>
    <xf numFmtId="2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" fontId="0" fillId="0" borderId="1" pivotButton="0" quotePrefix="0" xfId="0"/>
    <xf numFmtId="0" fontId="9" fillId="3" borderId="1" pivotButton="0" quotePrefix="0" xfId="0"/>
    <xf numFmtId="164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3" fontId="15" fillId="6" borderId="2" applyAlignment="1" pivotButton="0" quotePrefix="0" xfId="0">
      <alignment horizontal="center" vertical="center" wrapText="1"/>
    </xf>
    <xf numFmtId="0" fontId="16" fillId="0" borderId="1" pivotButton="0" quotePrefix="0" xfId="0"/>
    <xf numFmtId="1" fontId="15" fillId="6" borderId="2" applyAlignment="1" pivotButton="0" quotePrefix="0" xfId="0">
      <alignment horizontal="center" vertical="center" wrapText="1"/>
    </xf>
    <xf numFmtId="9" fontId="15" fillId="6" borderId="2" applyAlignment="1" pivotButton="0" quotePrefix="0" xfId="0">
      <alignment horizontal="center" vertical="center" wrapText="1"/>
    </xf>
    <xf numFmtId="9" fontId="9" fillId="3" borderId="1" applyAlignment="1" pivotButton="0" quotePrefix="0" xfId="0">
      <alignment horizontal="center" vertical="center" wrapText="1"/>
    </xf>
    <xf numFmtId="9" fontId="9" fillId="6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3" fontId="9" fillId="0" borderId="1" applyAlignment="1" pivotButton="0" quotePrefix="0" xfId="0">
      <alignment horizontal="center" vertical="center" wrapText="1"/>
    </xf>
    <xf numFmtId="0" fontId="7" fillId="2" borderId="1" pivotButton="0" quotePrefix="0" xfId="0"/>
    <xf numFmtId="166" fontId="17" fillId="4" borderId="1" applyAlignment="1" pivotButton="0" quotePrefix="0" xfId="0">
      <alignment horizontal="center" vertical="center" wrapText="1"/>
    </xf>
    <xf numFmtId="0" fontId="18" fillId="0" borderId="0" pivotButton="0" quotePrefix="0" xfId="0"/>
    <xf numFmtId="10" fontId="0" fillId="0" borderId="1" pivotButton="0" quotePrefix="0" xfId="0"/>
    <xf numFmtId="0" fontId="19" fillId="3" borderId="1" applyAlignment="1" pivotButton="0" quotePrefix="0" xfId="0">
      <alignment vertical="top" wrapText="1"/>
    </xf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Monthly Revenue (R$) — peak Nov 2017 (Black Friday + Christmas)</a:t>
            </a:r>
          </a:p>
        </rich>
      </tx>
    </title>
    <plotArea>
      <lineChart>
        <grouping val="standard"/>
        <ser>
          <idx val="0"/>
          <order val="0"/>
          <tx>
            <strRef>
              <f>'4. Revenue Trend'!C4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'4. Revenue Trend'!$B$5:$B$24</f>
            </numRef>
          </cat>
          <val>
            <numRef>
              <f>'4. Revenue Trend'!$C$5:$C$24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Customer share vs Revenue share — Pareto: Champions+At Risk = 39.7% / 66.9%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'5. RFM Segments'!D4</f>
            </strRef>
          </tx>
          <spPr>
            <a:ln>
              <a:prstDash val="solid"/>
            </a:ln>
          </spPr>
          <cat>
            <numRef>
              <f>'5. RFM Segments'!$B$5:$B$10</f>
            </numRef>
          </cat>
          <val>
            <numRef>
              <f>'5. RFM Segments'!$D$5:$D$10</f>
            </numRef>
          </val>
        </ser>
        <ser>
          <idx val="1"/>
          <order val="1"/>
          <tx>
            <strRef>
              <f>'5. RFM Segments'!F4</f>
            </strRef>
          </tx>
          <spPr>
            <a:ln>
              <a:prstDash val="solid"/>
            </a:ln>
          </spPr>
          <cat>
            <numRef>
              <f>'5. RFM Segments'!$B$5:$B$10</f>
            </numRef>
          </cat>
          <val>
            <numRef>
              <f>'5. RFM Segments'!$F$5:$F$10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Share %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Segment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Avg ticket (R$) by installment bucket — 7-10 installments = 3.48× single-payment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'8. Installments'!D5</f>
            </strRef>
          </tx>
          <spPr>
            <a:ln>
              <a:prstDash val="solid"/>
            </a:ln>
          </spPr>
          <cat>
            <numRef>
              <f>'8. Installments'!$B$6:$B$10</f>
            </numRef>
          </cat>
          <val>
            <numRef>
              <f>'8. Installments'!$D$6:$D$10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Installments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Avg ticket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Repeat rate by installment bucket — 7+ installments customers retain 65% better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'8. Installments'!F5</f>
            </strRef>
          </tx>
          <spPr>
            <a:ln>
              <a:prstDash val="solid"/>
            </a:ln>
          </spPr>
          <cat>
            <numRef>
              <f>'8. Installments'!$B$6:$B$10</f>
            </numRef>
          </cat>
          <val>
            <numRef>
              <f>'8. Installments'!$F$6:$F$10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Installments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Repeat rate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Actual vs Estimated delivery days — SP best (8.8d), RN worst (19.3d)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'9. Logistics'!C5</f>
            </strRef>
          </tx>
          <spPr>
            <a:ln>
              <a:prstDash val="solid"/>
            </a:ln>
          </spPr>
          <cat>
            <numRef>
              <f>'9. Logistics'!$B$6:$B$20</f>
            </numRef>
          </cat>
          <val>
            <numRef>
              <f>'9. Logistics'!$C$6:$C$20</f>
            </numRef>
          </val>
        </ser>
        <ser>
          <idx val="1"/>
          <order val="1"/>
          <tx>
            <strRef>
              <f>'9. Logistics'!D5</f>
            </strRef>
          </tx>
          <spPr>
            <a:ln>
              <a:prstDash val="solid"/>
            </a:ln>
          </spPr>
          <cat>
            <numRef>
              <f>'9. Logistics'!$B$6:$B$20</f>
            </numRef>
          </cat>
          <val>
            <numRef>
              <f>'9. Logistics'!$D$6:$D$20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32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olist-jenho.streamlit.app/" TargetMode="External" Id="rId1" /><Relationship Type="http://schemas.openxmlformats.org/officeDocument/2006/relationships/hyperlink" Target="https://kengkeng44.github.io/olist-project/" TargetMode="External" Id="rId2" /><Relationship Type="http://schemas.openxmlformats.org/officeDocument/2006/relationships/hyperlink" Target="https://public.tableau.com/app/profile/jenho.cheng/viz/2_17739060990590/1?publish=yes" TargetMode="External" Id="rId3" /><Relationship Type="http://schemas.openxmlformats.org/officeDocument/2006/relationships/hyperlink" Target="https://github.com/kengkeng44/olist-project" TargetMode="External" Id="rId4" /><Relationship Type="http://schemas.openxmlformats.org/officeDocument/2006/relationships/hyperlink" Target="https://github.com/kengkeng44/olist-project/blob/master/slides/portfolio.pdf" TargetMode="External" Id="rId5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28" customWidth="1" min="3" max="3"/>
    <col width="28" customWidth="1" min="4" max="4"/>
    <col width="28" customWidth="1" min="5" max="5"/>
    <col width="2" customWidth="1" min="6" max="6"/>
  </cols>
  <sheetData>
    <row r="2" ht="40" customHeight="1">
      <c r="B2" s="1" t="inlineStr">
        <is>
          <t>Olist Brazilian E-Commerce</t>
        </is>
      </c>
    </row>
    <row r="3" ht="26" customHeight="1">
      <c r="B3" s="2" t="inlineStr">
        <is>
          <t>End-to-End Customer Analytics — SQL · RFM · Cohort · ROI</t>
        </is>
      </c>
    </row>
    <row r="5">
      <c r="B5" s="3" t="inlineStr">
        <is>
          <t>Author</t>
        </is>
      </c>
      <c r="C5" s="4" t="inlineStr">
        <is>
          <t>Jen-Ho Cheng</t>
        </is>
      </c>
    </row>
    <row r="6">
      <c r="B6" s="3" t="inlineStr">
        <is>
          <t>Role</t>
        </is>
      </c>
      <c r="C6" s="4" t="inlineStr">
        <is>
          <t>Data / Product Analyst — E-commerce</t>
        </is>
      </c>
    </row>
    <row r="7">
      <c r="B7" s="3" t="inlineStr">
        <is>
          <t>Dataset</t>
        </is>
      </c>
      <c r="C7" s="4" t="inlineStr">
        <is>
          <t>Olist (Brazil) · 99,441 orders · 2016–2018</t>
        </is>
      </c>
    </row>
    <row r="10">
      <c r="B10" s="5" t="inlineStr">
        <is>
          <t>THREE HEADLINE FINDINGS</t>
        </is>
      </c>
    </row>
    <row r="12" ht="38" customHeight="1">
      <c r="B12" s="6" t="inlineStr">
        <is>
          <t>R$ 469K</t>
        </is>
      </c>
      <c r="C12" s="7" t="inlineStr">
        <is>
          <t>1.81%</t>
        </is>
      </c>
      <c r="D12" s="8" t="inlineStr">
        <is>
          <t>3.48×</t>
        </is>
      </c>
    </row>
    <row r="13" ht="22" customHeight="1">
      <c r="B13" s="9" t="inlineStr">
        <is>
          <t>Win-back revenue opportunity</t>
        </is>
      </c>
      <c r="C13" s="10" t="inlineStr">
        <is>
          <t>Cross-month repeat rate</t>
        </is>
      </c>
      <c r="D13" s="11" t="inlineStr">
        <is>
          <t>ARPU lift from 7-10 installments</t>
        </is>
      </c>
    </row>
    <row r="14" ht="36" customHeight="1">
      <c r="B14" s="12" t="inlineStr">
        <is>
          <t>21,975 at-risk customers · 9.4× ROI in aggressive scenario</t>
        </is>
      </c>
      <c r="C14" s="12" t="inlineStr">
        <is>
          <t>Platform-level retention failure (vs. 5–15% mature benchmark)</t>
        </is>
      </c>
      <c r="D14" s="12" t="inlineStr">
        <is>
          <t>R$ 334 vs R$ 96 single payment — Brazil's hidden CRM</t>
        </is>
      </c>
    </row>
    <row r="17">
      <c r="B17" s="5" t="inlineStr">
        <is>
          <t>LIVE LINKS</t>
        </is>
      </c>
    </row>
    <row r="18">
      <c r="A18" s="9" t="inlineStr">
        <is>
          <t>Resource</t>
        </is>
      </c>
      <c r="B18" s="9" t="inlineStr">
        <is>
          <t>URL</t>
        </is>
      </c>
      <c r="C18" s="9" t="inlineStr">
        <is>
          <t>What you'll find</t>
        </is>
      </c>
    </row>
    <row r="19">
      <c r="B19" s="13" t="inlineStr">
        <is>
          <t>Streamlit App</t>
        </is>
      </c>
      <c r="C19" s="14" t="inlineStr">
        <is>
          <t>https://olist-jenho.streamlit.app/</t>
        </is>
      </c>
      <c r="D19" s="15" t="inlineStr">
        <is>
          <t>Interactive 5-page dashboard with ROI calculator</t>
        </is>
      </c>
    </row>
    <row r="20">
      <c r="B20" s="13" t="inlineStr">
        <is>
          <t>HTML Dashboard</t>
        </is>
      </c>
      <c r="C20" s="14" t="inlineStr">
        <is>
          <t>https://kengkeng44.github.io/olist-project/</t>
        </is>
      </c>
      <c r="D20" s="15" t="inlineStr">
        <is>
          <t>Static GitHub Pages site</t>
        </is>
      </c>
    </row>
    <row r="21">
      <c r="B21" s="13" t="inlineStr">
        <is>
          <t>Tableau Public</t>
        </is>
      </c>
      <c r="C21" s="14" t="inlineStr">
        <is>
          <t>https://public.tableau.com/app/profile/jenho.cheng/viz/2_17739060990590/1?publish=yes</t>
        </is>
      </c>
      <c r="D21" s="15" t="inlineStr">
        <is>
          <t>Tableau visualization</t>
        </is>
      </c>
    </row>
    <row r="22">
      <c r="B22" s="13" t="inlineStr">
        <is>
          <t>GitHub Repo</t>
        </is>
      </c>
      <c r="C22" s="14" t="inlineStr">
        <is>
          <t>https://github.com/kengkeng44/olist-project</t>
        </is>
      </c>
      <c r="D22" s="15" t="inlineStr">
        <is>
          <t>Full source code + Notebook + SQL</t>
        </is>
      </c>
    </row>
    <row r="23">
      <c r="B23" s="13" t="inlineStr">
        <is>
          <t>Pitch Deck (PDF)</t>
        </is>
      </c>
      <c r="C23" s="14" t="inlineStr">
        <is>
          <t>https://github.com/kengkeng44/olist-project/blob/master/slides/portfolio.pdf</t>
        </is>
      </c>
      <c r="D23" s="15" t="inlineStr">
        <is>
          <t>13-slide PM-style deck</t>
        </is>
      </c>
    </row>
    <row r="26">
      <c r="B26" s="5" t="inlineStr">
        <is>
          <t>TECH STACK</t>
        </is>
      </c>
    </row>
    <row r="27">
      <c r="B27" s="16" t="inlineStr">
        <is>
          <t>Python</t>
        </is>
      </c>
      <c r="C27" s="16" t="inlineStr">
        <is>
          <t>SQLite</t>
        </is>
      </c>
      <c r="D27" s="16" t="inlineStr">
        <is>
          <t>SQL (NTILE Window)</t>
        </is>
      </c>
      <c r="E27" s="16" t="inlineStr">
        <is>
          <t>pandas</t>
        </is>
      </c>
    </row>
    <row r="28">
      <c r="B28" s="16" t="inlineStr">
        <is>
          <t>matplotlib</t>
        </is>
      </c>
      <c r="C28" s="16" t="inlineStr">
        <is>
          <t>Streamlit</t>
        </is>
      </c>
      <c r="D28" s="16" t="inlineStr">
        <is>
          <t>Tableau</t>
        </is>
      </c>
    </row>
  </sheetData>
  <mergeCells count="7">
    <mergeCell ref="D20:E20"/>
    <mergeCell ref="D19:E19"/>
    <mergeCell ref="D23:E23"/>
    <mergeCell ref="B3:E3"/>
    <mergeCell ref="B2:E2"/>
    <mergeCell ref="D22:E22"/>
    <mergeCell ref="D21:E21"/>
  </mergeCells>
  <hyperlinks>
    <hyperlink xmlns:r="http://schemas.openxmlformats.org/officeDocument/2006/relationships" ref="C19" r:id="rId1"/>
    <hyperlink xmlns:r="http://schemas.openxmlformats.org/officeDocument/2006/relationships" ref="C20" r:id="rId2"/>
    <hyperlink xmlns:r="http://schemas.openxmlformats.org/officeDocument/2006/relationships" ref="C21" r:id="rId3"/>
    <hyperlink xmlns:r="http://schemas.openxmlformats.org/officeDocument/2006/relationships" ref="C22" r:id="rId4"/>
    <hyperlink xmlns:r="http://schemas.openxmlformats.org/officeDocument/2006/relationships" ref="C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60" customWidth="1" min="3" max="3"/>
    <col width="2" customWidth="1" min="4" max="4"/>
  </cols>
  <sheetData>
    <row r="2">
      <c r="B2" s="17" t="inlineStr">
        <is>
          <t>Executive Summary</t>
        </is>
      </c>
    </row>
    <row r="3">
      <c r="B3" s="18" t="inlineStr">
        <is>
          <t>One-page brief for hiring managers — read in 60 seconds</t>
        </is>
      </c>
    </row>
    <row r="5" ht="56" customHeight="1">
      <c r="B5" s="9" t="inlineStr">
        <is>
          <t>Question</t>
        </is>
      </c>
      <c r="C5" s="19" t="inlineStr">
        <is>
          <t>Brazil's largest SMB marketplace (Olist, 12,000+ sellers) released 99K orders 2016–2018. Where can the platform unlock the biggest revenue lever next quarter?</t>
        </is>
      </c>
    </row>
    <row r="6" ht="56" customHeight="1">
      <c r="B6" s="9" t="inlineStr">
        <is>
          <t>Method</t>
        </is>
      </c>
      <c r="C6" s="19" t="inlineStr">
        <is>
          <t>9-table SQLite schema · SQL Window Functions (NTILE) for RFM scoring · Cohort retention · Installment-bucket analysis · Quantified ROI scenarios.</t>
        </is>
      </c>
    </row>
    <row r="7" ht="56" customHeight="1">
      <c r="B7" s="10" t="inlineStr">
        <is>
          <t>Finding 1 — Pareto</t>
        </is>
      </c>
      <c r="C7" s="19" t="inlineStr">
        <is>
          <t>Champions (16% of customers) + At-Risk (24%) drive 67% of revenue. Marketing spend should consolidate here, not chase the long tail.</t>
        </is>
      </c>
    </row>
    <row r="8" ht="56" customHeight="1">
      <c r="B8" s="10" t="inlineStr">
        <is>
          <t>Finding 2 — Retention crisis</t>
        </is>
      </c>
      <c r="C8" s="19" t="inlineStr">
        <is>
          <t>Cross-month repeat rate is 1.81%. Cohort heatmap shows M1 at 0.2–0.7%. Olist is acquisition-driven, not retention-driven — biggest leverage is win-back, not new acquisition.</t>
        </is>
      </c>
    </row>
    <row r="9" ht="56" customHeight="1">
      <c r="B9" s="10" t="inlineStr">
        <is>
          <t>Finding 3 — Installments = hidden CRM</t>
        </is>
      </c>
      <c r="C9" s="19" t="inlineStr">
        <is>
          <t>Customers paying in 7–10 installments have 3.48× ARPU and 65% higher repeat rate than single-payment buyers. Installment plans are an under-leveraged retention mechanism.</t>
        </is>
      </c>
    </row>
    <row r="10" ht="56" customHeight="1">
      <c r="B10" s="11" t="inlineStr">
        <is>
          <t>Recommendation</t>
        </is>
      </c>
      <c r="C10" s="19" t="inlineStr">
        <is>
          <t>Launch personalized win-back EDM to 21,975 At-Risk customers (cost ≈ R$ 50K). Conservative 5% recall = R$ 117K incremental revenue (2.3× ROI). Aggressive 20% = R$ 469K (9.4× ROI).</t>
        </is>
      </c>
    </row>
    <row r="11" ht="56" customHeight="1">
      <c r="B11" s="11" t="inlineStr">
        <is>
          <t>Decision artifact</t>
        </is>
      </c>
      <c r="C11" s="19" t="inlineStr">
        <is>
          <t>PRD-style proposal in proposals/recall_campaign_prd.md — includes timeline, cross-team RACI, A/B design, kill criteria. See Sheet 7 for the live ROI calculator.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4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2" customWidth="1" min="7" max="7"/>
  </cols>
  <sheetData>
    <row r="2">
      <c r="B2" s="20" t="inlineStr">
        <is>
          <t>Data Overview &amp; KPIs</t>
        </is>
      </c>
    </row>
    <row r="4">
      <c r="A4" s="21" t="inlineStr">
        <is>
          <t>Scale &amp; Coverage</t>
        </is>
      </c>
    </row>
    <row r="5">
      <c r="B5" s="9" t="inlineStr">
        <is>
          <t>Metric</t>
        </is>
      </c>
      <c r="C5" s="9" t="inlineStr">
        <is>
          <t>Value</t>
        </is>
      </c>
    </row>
    <row r="6">
      <c r="B6" s="22" t="inlineStr">
        <is>
          <t>Total orders</t>
        </is>
      </c>
      <c r="C6" s="23" t="inlineStr">
        <is>
          <t>99,441</t>
        </is>
      </c>
    </row>
    <row r="7">
      <c r="B7" s="22" t="inlineStr">
        <is>
          <t>Unique customers</t>
        </is>
      </c>
      <c r="C7" s="23" t="inlineStr">
        <is>
          <t>96,096</t>
        </is>
      </c>
    </row>
    <row r="8">
      <c r="B8" s="22" t="inlineStr">
        <is>
          <t>Sellers</t>
        </is>
      </c>
      <c r="C8" s="23" t="inlineStr">
        <is>
          <t>3,095</t>
        </is>
      </c>
    </row>
    <row r="9">
      <c r="B9" s="22" t="inlineStr">
        <is>
          <t>Products</t>
        </is>
      </c>
      <c r="C9" s="23" t="inlineStr">
        <is>
          <t>32,951</t>
        </is>
      </c>
    </row>
    <row r="10">
      <c r="B10" s="22" t="inlineStr">
        <is>
          <t>Product categories</t>
        </is>
      </c>
      <c r="C10" s="23" t="inlineStr">
        <is>
          <t>71</t>
        </is>
      </c>
    </row>
    <row r="11">
      <c r="B11" s="22" t="inlineStr">
        <is>
          <t>States covered</t>
        </is>
      </c>
      <c r="C11" s="23" t="inlineStr">
        <is>
          <t>27 (entire Brazil)</t>
        </is>
      </c>
    </row>
    <row r="12">
      <c r="B12" s="22" t="inlineStr">
        <is>
          <t>Cities covered</t>
        </is>
      </c>
      <c r="C12" s="23" t="inlineStr">
        <is>
          <t>4,119</t>
        </is>
      </c>
    </row>
    <row r="13">
      <c r="B13" s="22" t="inlineStr">
        <is>
          <t>Time range</t>
        </is>
      </c>
      <c r="C13" s="23" t="inlineStr">
        <is>
          <t>2016-09 → 2018-10</t>
        </is>
      </c>
    </row>
    <row r="14">
      <c r="B14" s="22" t="inlineStr">
        <is>
          <t>Total GMV</t>
        </is>
      </c>
      <c r="C14" s="23" t="inlineStr">
        <is>
          <t>R$ 13.1M</t>
        </is>
      </c>
    </row>
    <row r="15">
      <c r="B15" s="22" t="inlineStr">
        <is>
          <t>Avg order value (delivered)</t>
        </is>
      </c>
      <c r="C15" s="23" t="inlineStr">
        <is>
          <t>≈ R$ 137</t>
        </is>
      </c>
    </row>
    <row r="18">
      <c r="A18" s="21" t="inlineStr">
        <is>
          <t>Year-over-Year KPIs</t>
        </is>
      </c>
    </row>
    <row r="19">
      <c r="B19" s="9" t="inlineStr">
        <is>
          <t>Year</t>
        </is>
      </c>
      <c r="C19" s="9" t="inlineStr">
        <is>
          <t>GMV (R$ M)</t>
        </is>
      </c>
      <c r="D19" s="9" t="inlineStr">
        <is>
          <t>Orders</t>
        </is>
      </c>
      <c r="E19" s="9" t="inlineStr">
        <is>
          <t>Avg Review</t>
        </is>
      </c>
      <c r="F19" s="9" t="inlineStr">
        <is>
          <t>Avg Delivery (days)</t>
        </is>
      </c>
    </row>
    <row r="20">
      <c r="B20" s="24" t="inlineStr">
        <is>
          <t>2016</t>
        </is>
      </c>
      <c r="C20" s="25" t="n">
        <v>0.04</v>
      </c>
      <c r="D20" s="26" t="n">
        <v>264</v>
      </c>
      <c r="E20" s="26" t="n">
        <v>3.9</v>
      </c>
      <c r="F20" s="26" t="n">
        <v>19.6</v>
      </c>
    </row>
    <row r="21">
      <c r="B21" s="24" t="inlineStr">
        <is>
          <t>2017</t>
        </is>
      </c>
      <c r="C21" s="25" t="n">
        <v>5.94</v>
      </c>
      <c r="D21" s="26" t="n">
        <v>43098</v>
      </c>
      <c r="E21" s="26" t="n">
        <v>4.1</v>
      </c>
      <c r="F21" s="26" t="n">
        <v>12.9</v>
      </c>
    </row>
    <row r="22">
      <c r="B22" s="24" t="inlineStr">
        <is>
          <t>2018</t>
        </is>
      </c>
      <c r="C22" s="25" t="n">
        <v>7.19</v>
      </c>
      <c r="D22" s="26" t="n">
        <v>52462</v>
      </c>
      <c r="E22" s="26" t="n">
        <v>4.1</v>
      </c>
      <c r="F22" s="26" t="n">
        <v>12</v>
      </c>
    </row>
    <row r="25">
      <c r="B25" s="18" t="inlineStr">
        <is>
          <t>⚠️ Caveat: 2018 data is truncated at 2018-10. Apparent post-Sep dip = data cutoff, not real decline.</t>
        </is>
      </c>
    </row>
    <row r="27">
      <c r="A27" s="21" t="inlineStr">
        <is>
          <t>Order Status Distribution</t>
        </is>
      </c>
    </row>
    <row r="28">
      <c r="B28" s="9" t="inlineStr">
        <is>
          <t>Status</t>
        </is>
      </c>
      <c r="C28" s="9" t="inlineStr">
        <is>
          <t>Orders</t>
        </is>
      </c>
      <c r="D28" s="9" t="inlineStr">
        <is>
          <t>Share %</t>
        </is>
      </c>
    </row>
    <row r="29">
      <c r="B29" s="27" t="inlineStr">
        <is>
          <t>delivered</t>
        </is>
      </c>
      <c r="C29" s="28" t="n">
        <v>96478</v>
      </c>
      <c r="D29" s="29" t="n">
        <v>0.97</v>
      </c>
    </row>
    <row r="30">
      <c r="B30" s="27" t="inlineStr">
        <is>
          <t>shipped</t>
        </is>
      </c>
      <c r="C30" s="28" t="n">
        <v>1107</v>
      </c>
      <c r="D30" s="29" t="n">
        <v>0.011</v>
      </c>
    </row>
    <row r="31">
      <c r="B31" s="27" t="inlineStr">
        <is>
          <t>canceled</t>
        </is>
      </c>
      <c r="C31" s="28" t="n">
        <v>625</v>
      </c>
      <c r="D31" s="29" t="n">
        <v>0.006</v>
      </c>
    </row>
    <row r="32">
      <c r="B32" s="27" t="inlineStr">
        <is>
          <t>unavailable</t>
        </is>
      </c>
      <c r="C32" s="28" t="n">
        <v>609</v>
      </c>
      <c r="D32" s="29" t="n">
        <v>0.006</v>
      </c>
    </row>
    <row r="33">
      <c r="B33" s="27" t="inlineStr">
        <is>
          <t>other</t>
        </is>
      </c>
      <c r="C33" s="28" t="n">
        <v>622</v>
      </c>
      <c r="D33" s="29" t="n">
        <v>0.006</v>
      </c>
    </row>
    <row r="35">
      <c r="A35" s="21" t="inlineStr">
        <is>
          <t>Payment Mix (Brazil-specific)</t>
        </is>
      </c>
    </row>
    <row r="36">
      <c r="B36" s="9" t="inlineStr">
        <is>
          <t>Payment type</t>
        </is>
      </c>
      <c r="C36" s="9" t="inlineStr">
        <is>
          <t>Orders</t>
        </is>
      </c>
      <c r="D36" s="9" t="inlineStr">
        <is>
          <t>Share %</t>
        </is>
      </c>
      <c r="E36" s="9" t="inlineStr">
        <is>
          <t>Avg installments</t>
        </is>
      </c>
    </row>
    <row r="37">
      <c r="B37" s="27" t="inlineStr">
        <is>
          <t>credit_card</t>
        </is>
      </c>
      <c r="C37" s="28" t="n">
        <v>76795</v>
      </c>
      <c r="D37" s="29" t="n">
        <v>0.7390000000000001</v>
      </c>
      <c r="E37" s="30" t="n">
        <v>3.5</v>
      </c>
    </row>
    <row r="38">
      <c r="B38" s="27" t="inlineStr">
        <is>
          <t>boleto</t>
        </is>
      </c>
      <c r="C38" s="28" t="n">
        <v>19784</v>
      </c>
      <c r="D38" s="29" t="n">
        <v>0.19</v>
      </c>
      <c r="E38" s="30" t="n">
        <v>1</v>
      </c>
    </row>
    <row r="39">
      <c r="B39" s="27" t="inlineStr">
        <is>
          <t>voucher</t>
        </is>
      </c>
      <c r="C39" s="28" t="n">
        <v>5775</v>
      </c>
      <c r="D39" s="29" t="n">
        <v>0.05599999999999999</v>
      </c>
      <c r="E39" s="30" t="n">
        <v>1</v>
      </c>
    </row>
    <row r="40">
      <c r="B40" s="27" t="inlineStr">
        <is>
          <t>debit_card</t>
        </is>
      </c>
      <c r="C40" s="28" t="n">
        <v>1529</v>
      </c>
      <c r="D40" s="29" t="n">
        <v>0.015</v>
      </c>
      <c r="E40" s="30" t="n">
        <v>1</v>
      </c>
    </row>
    <row r="42">
      <c r="B42" s="18" t="inlineStr">
        <is>
          <t>Note: 'boleto' is a Brazil-only cash voucher printed at convenience stores. 1–3 day payment lag affects fulfillment timing.</t>
        </is>
      </c>
    </row>
  </sheetData>
  <mergeCells count="7">
    <mergeCell ref="B2:F2"/>
    <mergeCell ref="B25:F25"/>
    <mergeCell ref="B42:F42"/>
    <mergeCell ref="A27:F27"/>
    <mergeCell ref="A18:F18"/>
    <mergeCell ref="A4:F4"/>
    <mergeCell ref="A35:F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C3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8" customWidth="1" min="3" max="3"/>
    <col width="2" customWidth="1" min="4" max="4"/>
  </cols>
  <sheetData>
    <row r="2">
      <c r="B2" s="20" t="inlineStr">
        <is>
          <t>Monthly Revenue Trend (2017–2018)</t>
        </is>
      </c>
    </row>
    <row r="4">
      <c r="B4" s="9" t="inlineStr">
        <is>
          <t>Month</t>
        </is>
      </c>
      <c r="C4" s="9" t="inlineStr">
        <is>
          <t>Revenue (R$)</t>
        </is>
      </c>
    </row>
    <row r="5">
      <c r="B5" s="27" t="inlineStr">
        <is>
          <t>2017-01</t>
        </is>
      </c>
      <c r="C5" s="28" t="n">
        <v>111798.36</v>
      </c>
    </row>
    <row r="6">
      <c r="B6" s="27" t="inlineStr">
        <is>
          <t>2017-02</t>
        </is>
      </c>
      <c r="C6" s="28" t="n">
        <v>234223.4</v>
      </c>
    </row>
    <row r="7">
      <c r="B7" s="27" t="inlineStr">
        <is>
          <t>2017-03</t>
        </is>
      </c>
      <c r="C7" s="28" t="n">
        <v>359198.85</v>
      </c>
    </row>
    <row r="8">
      <c r="B8" s="27" t="inlineStr">
        <is>
          <t>2017-04</t>
        </is>
      </c>
      <c r="C8" s="28" t="n">
        <v>340669.68</v>
      </c>
    </row>
    <row r="9">
      <c r="B9" s="27" t="inlineStr">
        <is>
          <t>2017-05</t>
        </is>
      </c>
      <c r="C9" s="28" t="n">
        <v>489338.25</v>
      </c>
    </row>
    <row r="10">
      <c r="B10" s="27" t="inlineStr">
        <is>
          <t>2017-06</t>
        </is>
      </c>
      <c r="C10" s="28" t="n">
        <v>421923.37</v>
      </c>
    </row>
    <row r="11">
      <c r="B11" s="27" t="inlineStr">
        <is>
          <t>2017-07</t>
        </is>
      </c>
      <c r="C11" s="28" t="n">
        <v>481604.52</v>
      </c>
    </row>
    <row r="12">
      <c r="B12" s="27" t="inlineStr">
        <is>
          <t>2017-08</t>
        </is>
      </c>
      <c r="C12" s="28" t="n">
        <v>554699.7</v>
      </c>
    </row>
    <row r="13">
      <c r="B13" s="27" t="inlineStr">
        <is>
          <t>2017-09</t>
        </is>
      </c>
      <c r="C13" s="28" t="n">
        <v>607399.67</v>
      </c>
    </row>
    <row r="14">
      <c r="B14" s="27" t="inlineStr">
        <is>
          <t>2017-10</t>
        </is>
      </c>
      <c r="C14" s="28" t="n">
        <v>648247.65</v>
      </c>
    </row>
    <row r="15">
      <c r="B15" s="27" t="inlineStr">
        <is>
          <t>2017-11</t>
        </is>
      </c>
      <c r="C15" s="28" t="n">
        <v>987765.37</v>
      </c>
    </row>
    <row r="16">
      <c r="B16" s="27" t="inlineStr">
        <is>
          <t>2017-12</t>
        </is>
      </c>
      <c r="C16" s="28" t="n">
        <v>726033.1899999999</v>
      </c>
    </row>
    <row r="17">
      <c r="B17" s="27" t="inlineStr">
        <is>
          <t>2018-01</t>
        </is>
      </c>
      <c r="C17" s="28" t="n">
        <v>924645</v>
      </c>
    </row>
    <row r="18">
      <c r="B18" s="27" t="inlineStr">
        <is>
          <t>2018-02</t>
        </is>
      </c>
      <c r="C18" s="28" t="n">
        <v>826437.13</v>
      </c>
    </row>
    <row r="19">
      <c r="B19" s="27" t="inlineStr">
        <is>
          <t>2018-03</t>
        </is>
      </c>
      <c r="C19" s="28" t="n">
        <v>953356.25</v>
      </c>
    </row>
    <row r="20">
      <c r="B20" s="27" t="inlineStr">
        <is>
          <t>2018-04</t>
        </is>
      </c>
      <c r="C20" s="28" t="n">
        <v>973534.09</v>
      </c>
    </row>
    <row r="21">
      <c r="B21" s="27" t="inlineStr">
        <is>
          <t>2018-05</t>
        </is>
      </c>
      <c r="C21" s="28" t="n">
        <v>977544.6899999999</v>
      </c>
    </row>
    <row r="22">
      <c r="B22" s="27" t="inlineStr">
        <is>
          <t>2018-06</t>
        </is>
      </c>
      <c r="C22" s="28" t="n">
        <v>856077.86</v>
      </c>
    </row>
    <row r="23">
      <c r="B23" s="27" t="inlineStr">
        <is>
          <t>2018-07</t>
        </is>
      </c>
      <c r="C23" s="28" t="n">
        <v>867953.46</v>
      </c>
    </row>
    <row r="24">
      <c r="B24" s="27" t="inlineStr">
        <is>
          <t>2018-08</t>
        </is>
      </c>
      <c r="C24" s="28" t="n">
        <v>838576.64</v>
      </c>
    </row>
    <row r="27">
      <c r="B27" s="5" t="inlineStr">
        <is>
          <t>KEY INSIGHTS</t>
        </is>
      </c>
    </row>
    <row r="28">
      <c r="B28" s="4" t="inlineStr">
        <is>
          <t>• Peak: Nov 2017 ≈ R$ 988K (Black Friday + Christmas)</t>
        </is>
      </c>
    </row>
    <row r="29">
      <c r="B29" s="4" t="inlineStr">
        <is>
          <t>• 2018 stable plateau: R$ 0.7M – 1.0M monthly</t>
        </is>
      </c>
    </row>
    <row r="30">
      <c r="B30" s="4" t="inlineStr">
        <is>
          <t>• 2018-09 onwards = data truncation, not real decline</t>
        </is>
      </c>
    </row>
    <row r="31">
      <c r="B31" s="4" t="inlineStr">
        <is>
          <t>• Top 3 categories drive revenue: health_beauty, watches_gifts, bed_bath_table</t>
        </is>
      </c>
    </row>
    <row r="32">
      <c r="B32" s="4" t="inlineStr">
        <is>
          <t>• Recommendation: front-load marketing budget pre-Q4; concentrate inventory on top-3 categories</t>
        </is>
      </c>
    </row>
  </sheetData>
  <mergeCells count="6">
    <mergeCell ref="B30:C30"/>
    <mergeCell ref="B2:C2"/>
    <mergeCell ref="B29:C29"/>
    <mergeCell ref="B28:C28"/>
    <mergeCell ref="B32:C32"/>
    <mergeCell ref="B31:C3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4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  <col width="14" customWidth="1" min="9" max="9"/>
    <col width="2" customWidth="1" min="10" max="10"/>
  </cols>
  <sheetData>
    <row r="2">
      <c r="B2" s="20" t="inlineStr">
        <is>
          <t>RFM Customer Segmentation (NTILE Window Function)</t>
        </is>
      </c>
    </row>
    <row r="4">
      <c r="B4" s="9" t="inlineStr">
        <is>
          <t>Segment</t>
        </is>
      </c>
      <c r="C4" s="9" t="inlineStr">
        <is>
          <t>Customers</t>
        </is>
      </c>
      <c r="D4" s="9" t="inlineStr">
        <is>
          <t>Customer %</t>
        </is>
      </c>
      <c r="E4" s="9" t="inlineStr">
        <is>
          <t>Revenue (R$)</t>
        </is>
      </c>
      <c r="F4" s="9" t="inlineStr">
        <is>
          <t>Revenue %</t>
        </is>
      </c>
      <c r="G4" s="9" t="inlineStr">
        <is>
          <t>ARPU (R$)</t>
        </is>
      </c>
      <c r="H4" s="9" t="inlineStr">
        <is>
          <t>Avg Recency (d)</t>
        </is>
      </c>
      <c r="I4" s="9" t="inlineStr">
        <is>
          <t>Persona / Action</t>
        </is>
      </c>
    </row>
    <row r="5">
      <c r="B5" s="13" t="inlineStr">
        <is>
          <t>🏆 Champions</t>
        </is>
      </c>
      <c r="C5" s="28" t="n">
        <v>15151</v>
      </c>
      <c r="D5" s="29" t="n">
        <v>0.162</v>
      </c>
      <c r="E5" s="28" t="n">
        <v>4155457.5</v>
      </c>
      <c r="F5" s="29" t="n">
        <v>0.314</v>
      </c>
      <c r="G5" s="31" t="n">
        <v>274.3</v>
      </c>
      <c r="H5" s="31" t="n">
        <v>90.90000000000001</v>
      </c>
      <c r="I5" s="15" t="inlineStr">
        <is>
          <t>Big-ticket buyer who ordered last month — protect, upsell</t>
        </is>
      </c>
    </row>
    <row r="6">
      <c r="B6" s="13" t="inlineStr">
        <is>
          <t>⚠️ At Risk</t>
        </is>
      </c>
      <c r="C6" s="28" t="n">
        <v>21975</v>
      </c>
      <c r="D6" s="29" t="n">
        <v>0.235</v>
      </c>
      <c r="E6" s="28" t="n">
        <v>4688537.4</v>
      </c>
      <c r="F6" s="29" t="n">
        <v>0.355</v>
      </c>
      <c r="G6" s="31" t="n">
        <v>213.4</v>
      </c>
      <c r="H6" s="31" t="n">
        <v>393.2</v>
      </c>
      <c r="I6" s="15" t="inlineStr">
        <is>
          <t>High-value customer dormant ~13 months — top win-back priority</t>
        </is>
      </c>
    </row>
    <row r="7">
      <c r="B7" s="13" t="inlineStr">
        <is>
          <t>🔁 Loyal Low-spend</t>
        </is>
      </c>
      <c r="C7" s="28" t="n">
        <v>7612</v>
      </c>
      <c r="D7" s="29" t="n">
        <v>0.08199999999999999</v>
      </c>
      <c r="E7" s="28" t="n">
        <v>675660.2</v>
      </c>
      <c r="F7" s="29" t="n">
        <v>0.051</v>
      </c>
      <c r="G7" s="31" t="n">
        <v>88.8</v>
      </c>
      <c r="H7" s="31" t="n">
        <v>90.09999999999999</v>
      </c>
      <c r="I7" s="15" t="inlineStr">
        <is>
          <t>Recent + frequent but low ticket. Bundle / category expansion</t>
        </is>
      </c>
    </row>
    <row r="8">
      <c r="B8" s="13" t="inlineStr">
        <is>
          <t>— Average</t>
        </is>
      </c>
      <c r="C8" s="28" t="n">
        <v>18672</v>
      </c>
      <c r="D8" s="29" t="n">
        <v>0.2</v>
      </c>
      <c r="E8" s="28" t="n">
        <v>2507492.9</v>
      </c>
      <c r="F8" s="29" t="n">
        <v>0.19</v>
      </c>
      <c r="G8" s="31" t="n">
        <v>134.3</v>
      </c>
      <c r="H8" s="31" t="n">
        <v>219.4</v>
      </c>
      <c r="I8" s="15" t="inlineStr">
        <is>
          <t>Mid-frequency, mid-value. Cross-sell test bed</t>
        </is>
      </c>
    </row>
    <row r="9">
      <c r="B9" s="13" t="inlineStr">
        <is>
          <t>🌱 Potential New</t>
        </is>
      </c>
      <c r="C9" s="28" t="n">
        <v>14579</v>
      </c>
      <c r="D9" s="29" t="n">
        <v>0.156</v>
      </c>
      <c r="E9" s="28" t="n">
        <v>576513.3</v>
      </c>
      <c r="F9" s="29" t="n">
        <v>0.044</v>
      </c>
      <c r="G9" s="31" t="n">
        <v>39.5</v>
      </c>
      <c r="H9" s="31" t="n">
        <v>88.8</v>
      </c>
      <c r="I9" s="15" t="inlineStr">
        <is>
          <t>Just acquired, low ticket. Onboarding nurture</t>
        </is>
      </c>
    </row>
    <row r="10">
      <c r="B10" s="13" t="inlineStr">
        <is>
          <t>💤 Lost</t>
        </is>
      </c>
      <c r="C10" s="28" t="n">
        <v>15369</v>
      </c>
      <c r="D10" s="29" t="n">
        <v>0.165</v>
      </c>
      <c r="E10" s="28" t="n">
        <v>617836.7</v>
      </c>
      <c r="F10" s="29" t="n">
        <v>0.047</v>
      </c>
      <c r="G10" s="31" t="n">
        <v>40.2</v>
      </c>
      <c r="H10" s="31" t="n">
        <v>395.5</v>
      </c>
      <c r="I10" s="15" t="inlineStr">
        <is>
          <t>Long inactive + low value. Lowest priority</t>
        </is>
      </c>
    </row>
    <row r="33">
      <c r="B33" s="5" t="inlineStr">
        <is>
          <t>FOUR BUSINESS INSIGHTS</t>
        </is>
      </c>
    </row>
    <row r="34">
      <c r="B34" s="4" t="inlineStr">
        <is>
          <t>1. Pareto holds — Champions (16%) + At-Risk (24%) = 40% of customers but 67% of revenue</t>
        </is>
      </c>
    </row>
    <row r="35">
      <c r="B35" s="4" t="inlineStr">
        <is>
          <t>2. Biggest lever is WIN-BACK, not acquisition — At-Risk owns 35.5% of revenue and 21,975 wallets</t>
        </is>
      </c>
    </row>
    <row r="36">
      <c r="B36" s="4" t="inlineStr">
        <is>
          <t>3. Champions ARPU (R$ 274) is 2× platform avg — VIP program + cross-category recommendation candidate</t>
        </is>
      </c>
    </row>
    <row r="37">
      <c r="B37" s="4" t="inlineStr">
        <is>
          <t>4. CRITICAL — Frequency ≈ 1.0 across ALL segments. Olist is acquisition-driven, not retention-driven (proven in next sheet)</t>
        </is>
      </c>
    </row>
    <row r="39">
      <c r="B39" s="5" t="inlineStr">
        <is>
          <t>WHY RULE-BASED, NOT K-MEANS?</t>
        </is>
      </c>
    </row>
    <row r="40">
      <c r="B40" s="4" t="inlineStr">
        <is>
          <t>1. Business interpretability — marketing teams understand 'At Risk' but not 'Cluster 3'</t>
        </is>
      </c>
    </row>
    <row r="41">
      <c r="B41" s="4" t="inlineStr">
        <is>
          <t>2. F dimension has no variance (median = 1.0); K-Means would create meaningless clusters</t>
        </is>
      </c>
    </row>
    <row r="42">
      <c r="B42" s="4" t="inlineStr">
        <is>
          <t>3. Stable thresholds year-over-year — K-Means re-trains drift segment definitions</t>
        </is>
      </c>
    </row>
  </sheetData>
  <mergeCells count="8">
    <mergeCell ref="B2:I2"/>
    <mergeCell ref="B34:I34"/>
    <mergeCell ref="B42:I42"/>
    <mergeCell ref="B36:I36"/>
    <mergeCell ref="B37:I37"/>
    <mergeCell ref="B41:I41"/>
    <mergeCell ref="B35:I35"/>
    <mergeCell ref="B40:I40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O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2">
      <c r="B2" s="20" t="inlineStr">
        <is>
          <t>Cohort Retention Heatmap — Proof of F=1.0</t>
        </is>
      </c>
    </row>
    <row r="3">
      <c r="B3" s="18" t="inlineStr">
        <is>
          <t>Cell value = % of cohort active in month N. Healthy e-commerce = 5–15% at M1. Olist = 0.2–0.7%.</t>
        </is>
      </c>
    </row>
    <row r="5">
      <c r="B5" s="9" t="inlineStr">
        <is>
          <t>Cohort</t>
        </is>
      </c>
      <c r="C5" s="9" t="inlineStr">
        <is>
          <t>M0</t>
        </is>
      </c>
      <c r="D5" s="9" t="inlineStr">
        <is>
          <t>M1</t>
        </is>
      </c>
      <c r="E5" s="9" t="inlineStr">
        <is>
          <t>M2</t>
        </is>
      </c>
      <c r="F5" s="9" t="inlineStr">
        <is>
          <t>M3</t>
        </is>
      </c>
      <c r="G5" s="9" t="inlineStr">
        <is>
          <t>M4</t>
        </is>
      </c>
      <c r="H5" s="9" t="inlineStr">
        <is>
          <t>M5</t>
        </is>
      </c>
      <c r="I5" s="9" t="inlineStr">
        <is>
          <t>M6</t>
        </is>
      </c>
      <c r="J5" s="9" t="inlineStr">
        <is>
          <t>M7</t>
        </is>
      </c>
      <c r="K5" s="9" t="inlineStr">
        <is>
          <t>M8</t>
        </is>
      </c>
      <c r="L5" s="9" t="inlineStr">
        <is>
          <t>M9</t>
        </is>
      </c>
      <c r="M5" s="9" t="inlineStr">
        <is>
          <t>M10</t>
        </is>
      </c>
      <c r="N5" s="9" t="inlineStr">
        <is>
          <t>M11</t>
        </is>
      </c>
      <c r="O5" s="9" t="inlineStr">
        <is>
          <t>M12</t>
        </is>
      </c>
    </row>
    <row r="6">
      <c r="B6" s="32" t="inlineStr">
        <is>
          <t>2017-01</t>
        </is>
      </c>
      <c r="C6" s="33" t="n">
        <v>1</v>
      </c>
      <c r="D6" s="33" t="n">
        <v>0.002789400278940028</v>
      </c>
      <c r="E6" s="33" t="n">
        <v>0.002789400278940028</v>
      </c>
      <c r="F6" s="33" t="n">
        <v>0.001394700139470014</v>
      </c>
      <c r="G6" s="33" t="n">
        <v>0.004184100418410041</v>
      </c>
      <c r="H6" s="33" t="n">
        <v>0.001394700139470014</v>
      </c>
      <c r="I6" s="33" t="n">
        <v>0.004184100418410041</v>
      </c>
      <c r="J6" s="33" t="n">
        <v>0.001394700139470014</v>
      </c>
      <c r="K6" s="33" t="n">
        <v>0.001394700139470014</v>
      </c>
      <c r="L6" s="34" t="n"/>
      <c r="M6" s="33" t="n">
        <v>0.004184100418410041</v>
      </c>
      <c r="N6" s="33" t="n">
        <v>0.001394700139470014</v>
      </c>
      <c r="O6" s="33" t="n">
        <v>0.006973500697350071</v>
      </c>
    </row>
    <row r="7">
      <c r="B7" s="32" t="inlineStr">
        <is>
          <t>2017-02</t>
        </is>
      </c>
      <c r="C7" s="33" t="n">
        <v>1</v>
      </c>
      <c r="D7" s="33" t="n">
        <v>0.001842751842751843</v>
      </c>
      <c r="E7" s="33" t="n">
        <v>0.003071253071253071</v>
      </c>
      <c r="F7" s="33" t="n">
        <v>0.001228501228501228</v>
      </c>
      <c r="G7" s="33" t="n">
        <v>0.0042997542997543</v>
      </c>
      <c r="H7" s="33" t="n">
        <v>0.001228501228501228</v>
      </c>
      <c r="I7" s="33" t="n">
        <v>0.002457002457002457</v>
      </c>
      <c r="J7" s="33" t="n">
        <v>0.001842751842751843</v>
      </c>
      <c r="K7" s="33" t="n">
        <v>0.001228501228501228</v>
      </c>
      <c r="L7" s="33" t="n">
        <v>0.001842751842751843</v>
      </c>
      <c r="M7" s="33" t="n">
        <v>0.001228501228501228</v>
      </c>
      <c r="N7" s="33" t="n">
        <v>0.003071253071253071</v>
      </c>
      <c r="O7" s="33" t="n">
        <v>0.001228501228501228</v>
      </c>
    </row>
    <row r="8">
      <c r="B8" s="32" t="inlineStr">
        <is>
          <t>2017-03</t>
        </is>
      </c>
      <c r="C8" s="33" t="n">
        <v>1</v>
      </c>
      <c r="D8" s="33" t="n">
        <v>0.004394726328405913</v>
      </c>
      <c r="E8" s="33" t="n">
        <v>0.003595685177786656</v>
      </c>
      <c r="F8" s="33" t="n">
        <v>0.003995205753096284</v>
      </c>
      <c r="G8" s="33" t="n">
        <v>0.003595685177786656</v>
      </c>
      <c r="H8" s="33" t="n">
        <v>0.001598082301238514</v>
      </c>
      <c r="I8" s="33" t="n">
        <v>0.001598082301238514</v>
      </c>
      <c r="J8" s="33" t="n">
        <v>0.003196164602477028</v>
      </c>
      <c r="K8" s="33" t="n">
        <v>0.003196164602477028</v>
      </c>
      <c r="L8" s="33" t="n">
        <v>0.0007990411506192569</v>
      </c>
      <c r="M8" s="33" t="n">
        <v>0.003595685177786656</v>
      </c>
      <c r="N8" s="33" t="n">
        <v>0.001198561725928885</v>
      </c>
      <c r="O8" s="33" t="n">
        <v>0.001997602876548142</v>
      </c>
    </row>
    <row r="9">
      <c r="B9" s="32" t="inlineStr">
        <is>
          <t>2017-04</t>
        </is>
      </c>
      <c r="C9" s="33" t="n">
        <v>1</v>
      </c>
      <c r="D9" s="33" t="n">
        <v>0.006205673758865249</v>
      </c>
      <c r="E9" s="33" t="n">
        <v>0.002216312056737589</v>
      </c>
      <c r="F9" s="33" t="n">
        <v>0.001773049645390071</v>
      </c>
      <c r="G9" s="33" t="n">
        <v>0.002659574468085106</v>
      </c>
      <c r="H9" s="33" t="n">
        <v>0.002659574468085106</v>
      </c>
      <c r="I9" s="33" t="n">
        <v>0.003546099290780142</v>
      </c>
      <c r="J9" s="33" t="n">
        <v>0.003102836879432624</v>
      </c>
      <c r="K9" s="33" t="n">
        <v>0.003102836879432624</v>
      </c>
      <c r="L9" s="33" t="n">
        <v>0.001773049645390071</v>
      </c>
      <c r="M9" s="33" t="n">
        <v>0.002659574468085106</v>
      </c>
      <c r="N9" s="33" t="n">
        <v>0.0008865248226950354</v>
      </c>
      <c r="O9" s="33" t="n">
        <v>0.0004432624113475177</v>
      </c>
    </row>
    <row r="10">
      <c r="B10" s="32" t="inlineStr">
        <is>
          <t>2017-05</t>
        </is>
      </c>
      <c r="C10" s="33" t="n">
        <v>1</v>
      </c>
      <c r="D10" s="33" t="n">
        <v>0.004636337293538105</v>
      </c>
      <c r="E10" s="33" t="n">
        <v>0.004636337293538105</v>
      </c>
      <c r="F10" s="33" t="n">
        <v>0.002897710808461316</v>
      </c>
      <c r="G10" s="33" t="n">
        <v>0.002897710808461316</v>
      </c>
      <c r="H10" s="33" t="n">
        <v>0.003187481889307447</v>
      </c>
      <c r="I10" s="33" t="n">
        <v>0.004056795131845842</v>
      </c>
      <c r="J10" s="33" t="n">
        <v>0.001448855404230658</v>
      </c>
      <c r="K10" s="33" t="n">
        <v>0.002607939727615184</v>
      </c>
      <c r="L10" s="33" t="n">
        <v>0.002607939727615184</v>
      </c>
      <c r="M10" s="33" t="n">
        <v>0.002607939727615184</v>
      </c>
      <c r="N10" s="33" t="n">
        <v>0.003477252970153579</v>
      </c>
      <c r="O10" s="33" t="n">
        <v>0.002318168646769053</v>
      </c>
    </row>
    <row r="11">
      <c r="B11" s="32" t="inlineStr">
        <is>
          <t>2017-06</t>
        </is>
      </c>
      <c r="C11" s="33" t="n">
        <v>1</v>
      </c>
      <c r="D11" s="33" t="n">
        <v>0.004939084622983207</v>
      </c>
      <c r="E11" s="33" t="n">
        <v>0.003951267698386566</v>
      </c>
      <c r="F11" s="33" t="n">
        <v>0.004280540006585446</v>
      </c>
      <c r="G11" s="33" t="n">
        <v>0.002963450773789925</v>
      </c>
      <c r="H11" s="33" t="n">
        <v>0.003951267698386566</v>
      </c>
      <c r="I11" s="33" t="n">
        <v>0.003621995390187685</v>
      </c>
      <c r="J11" s="33" t="n">
        <v>0.002304906157392163</v>
      </c>
      <c r="K11" s="33" t="n">
        <v>0.001317089232795522</v>
      </c>
      <c r="L11" s="33" t="n">
        <v>0.001975633849193283</v>
      </c>
      <c r="M11" s="33" t="n">
        <v>0.002963450773789925</v>
      </c>
      <c r="N11" s="33" t="n">
        <v>0.003621995390187685</v>
      </c>
      <c r="O11" s="33" t="n">
        <v>0.001646361540994402</v>
      </c>
    </row>
    <row r="12">
      <c r="B12" s="32" t="inlineStr">
        <is>
          <t>2017-07</t>
        </is>
      </c>
      <c r="C12" s="33" t="n">
        <v>1</v>
      </c>
      <c r="D12" s="33" t="n">
        <v>0.005330490405117271</v>
      </c>
      <c r="E12" s="33" t="n">
        <v>0.003464818763326226</v>
      </c>
      <c r="F12" s="33" t="n">
        <v>0.002398720682302772</v>
      </c>
      <c r="G12" s="33" t="n">
        <v>0.002931769722814499</v>
      </c>
      <c r="H12" s="33" t="n">
        <v>0.002132196162046908</v>
      </c>
      <c r="I12" s="33" t="n">
        <v>0.003198294243070362</v>
      </c>
      <c r="J12" s="33" t="n">
        <v>0.001066098081023454</v>
      </c>
      <c r="K12" s="33" t="n">
        <v>0.001865671641791045</v>
      </c>
      <c r="L12" s="33" t="n">
        <v>0.002665245202558635</v>
      </c>
      <c r="M12" s="33" t="n">
        <v>0.002132196162046908</v>
      </c>
      <c r="N12" s="33" t="n">
        <v>0.002931769722814499</v>
      </c>
      <c r="O12" s="33" t="n">
        <v>0.001332622601279318</v>
      </c>
    </row>
    <row r="13">
      <c r="B13" s="32" t="inlineStr">
        <is>
          <t>2017-08</t>
        </is>
      </c>
      <c r="C13" s="33" t="n">
        <v>1</v>
      </c>
      <c r="D13" s="33" t="n">
        <v>0.006901651466600937</v>
      </c>
      <c r="E13" s="33" t="n">
        <v>0.003450825733300468</v>
      </c>
      <c r="F13" s="33" t="n">
        <v>0.002711363076164654</v>
      </c>
      <c r="G13" s="33" t="n">
        <v>0.003450825733300468</v>
      </c>
      <c r="H13" s="33" t="n">
        <v>0.005176238599950703</v>
      </c>
      <c r="I13" s="33" t="n">
        <v>0.002957850628543258</v>
      </c>
      <c r="J13" s="33" t="n">
        <v>0.002711363076164654</v>
      </c>
      <c r="K13" s="33" t="n">
        <v>0.001478925314271629</v>
      </c>
      <c r="L13" s="33" t="n">
        <v>0.001478925314271629</v>
      </c>
      <c r="M13" s="33" t="n">
        <v>0.002464875523786049</v>
      </c>
      <c r="N13" s="33" t="n">
        <v>0.001971900419028839</v>
      </c>
      <c r="O13" s="33" t="n">
        <v>0.001232437761893024</v>
      </c>
    </row>
    <row r="14">
      <c r="B14" s="32" t="inlineStr">
        <is>
          <t>2017-09</t>
        </is>
      </c>
      <c r="C14" s="33" t="n">
        <v>1</v>
      </c>
      <c r="D14" s="33" t="n">
        <v>0.006993006993006993</v>
      </c>
      <c r="E14" s="33" t="n">
        <v>0.005494505494505495</v>
      </c>
      <c r="F14" s="33" t="n">
        <v>0.002747252747252747</v>
      </c>
      <c r="G14" s="33" t="n">
        <v>0.004495504495504496</v>
      </c>
      <c r="H14" s="33" t="n">
        <v>0.002247752247752248</v>
      </c>
      <c r="I14" s="33" t="n">
        <v>0.002247752247752248</v>
      </c>
      <c r="J14" s="33" t="n">
        <v>0.002497502497502498</v>
      </c>
      <c r="K14" s="33" t="n">
        <v>0.002747252747252747</v>
      </c>
      <c r="L14" s="33" t="n">
        <v>0.001748251748251748</v>
      </c>
      <c r="M14" s="33" t="n">
        <v>0.002497502497502498</v>
      </c>
      <c r="N14" s="33" t="n">
        <v>0.0007492507492507493</v>
      </c>
      <c r="O14" s="34" t="n"/>
    </row>
    <row r="15">
      <c r="B15" s="32" t="inlineStr">
        <is>
          <t>2017-10</t>
        </is>
      </c>
      <c r="C15" s="33" t="n">
        <v>1</v>
      </c>
      <c r="D15" s="33" t="n">
        <v>0.007162661737523105</v>
      </c>
      <c r="E15" s="33" t="n">
        <v>0.002541589648798521</v>
      </c>
      <c r="F15" s="33" t="n">
        <v>0.0009242144177449168</v>
      </c>
      <c r="G15" s="33" t="n">
        <v>0.002310536044362292</v>
      </c>
      <c r="H15" s="33" t="n">
        <v>0.002079482439926063</v>
      </c>
      <c r="I15" s="33" t="n">
        <v>0.002079482439926063</v>
      </c>
      <c r="J15" s="33" t="n">
        <v>0.003696857670979667</v>
      </c>
      <c r="K15" s="33" t="n">
        <v>0.00277264325323475</v>
      </c>
      <c r="L15" s="33" t="n">
        <v>0.001848428835489834</v>
      </c>
      <c r="M15" s="33" t="n">
        <v>0.002079482439926063</v>
      </c>
      <c r="N15" s="34" t="n"/>
      <c r="O15" s="34" t="n"/>
    </row>
    <row r="16">
      <c r="B16" s="32" t="inlineStr">
        <is>
          <t>2017-11</t>
        </is>
      </c>
      <c r="C16" s="33" t="n">
        <v>1</v>
      </c>
      <c r="D16" s="33" t="n">
        <v>0.0056657223796034</v>
      </c>
      <c r="E16" s="33" t="n">
        <v>0.00368271954674221</v>
      </c>
      <c r="F16" s="33" t="n">
        <v>0.00169971671388102</v>
      </c>
      <c r="G16" s="33" t="n">
        <v>0.00169971671388102</v>
      </c>
      <c r="H16" s="33" t="n">
        <v>0.001841359773371105</v>
      </c>
      <c r="I16" s="33" t="n">
        <v>0.00113314447592068</v>
      </c>
      <c r="J16" s="33" t="n">
        <v>0.001841359773371105</v>
      </c>
      <c r="K16" s="33" t="n">
        <v>0.001274787535410765</v>
      </c>
      <c r="L16" s="33" t="n">
        <v>0.0005665722379603399</v>
      </c>
      <c r="M16" s="34" t="n"/>
      <c r="N16" s="34" t="n"/>
      <c r="O16" s="34" t="n"/>
    </row>
    <row r="17">
      <c r="B17" s="32" t="inlineStr">
        <is>
          <t>2017-12</t>
        </is>
      </c>
      <c r="C17" s="33" t="n">
        <v>1</v>
      </c>
      <c r="D17" s="33" t="n">
        <v>0.002060696890221056</v>
      </c>
      <c r="E17" s="33" t="n">
        <v>0.002810041213937804</v>
      </c>
      <c r="F17" s="33" t="n">
        <v>0.003372049456725365</v>
      </c>
      <c r="G17" s="33" t="n">
        <v>0.002622705133008617</v>
      </c>
      <c r="H17" s="33" t="n">
        <v>0.002060696890221056</v>
      </c>
      <c r="I17" s="33" t="n">
        <v>0.001686024728362683</v>
      </c>
      <c r="J17" s="33" t="n">
        <v>0.000187336080929187</v>
      </c>
      <c r="K17" s="33" t="n">
        <v>0.00187336080929187</v>
      </c>
      <c r="L17" s="34" t="n"/>
      <c r="M17" s="34" t="n"/>
      <c r="N17" s="34" t="n"/>
      <c r="O17" s="34" t="n"/>
    </row>
    <row r="18">
      <c r="B18" s="32" t="inlineStr">
        <is>
          <t>2018-01</t>
        </is>
      </c>
      <c r="C18" s="33" t="n">
        <v>1</v>
      </c>
      <c r="D18" s="33" t="n">
        <v>0.003361590178310436</v>
      </c>
      <c r="E18" s="33" t="n">
        <v>0.003653902367728734</v>
      </c>
      <c r="F18" s="33" t="n">
        <v>0.002923121894182987</v>
      </c>
      <c r="G18" s="33" t="n">
        <v>0.002923121894182987</v>
      </c>
      <c r="H18" s="33" t="n">
        <v>0.001607717041800643</v>
      </c>
      <c r="I18" s="33" t="n">
        <v>0.001753873136509792</v>
      </c>
      <c r="J18" s="33" t="n">
        <v>0.00233849751534639</v>
      </c>
      <c r="K18" s="34" t="n"/>
      <c r="L18" s="34" t="n"/>
      <c r="M18" s="34" t="n"/>
      <c r="N18" s="34" t="n"/>
      <c r="O18" s="34" t="n"/>
    </row>
    <row r="19">
      <c r="B19" s="32" t="inlineStr">
        <is>
          <t>2018-02</t>
        </is>
      </c>
      <c r="C19" s="33" t="n">
        <v>1</v>
      </c>
      <c r="D19" s="33" t="n">
        <v>0.003498727735368957</v>
      </c>
      <c r="E19" s="33" t="n">
        <v>0.003975826972010178</v>
      </c>
      <c r="F19" s="33" t="n">
        <v>0.003021628498727735</v>
      </c>
      <c r="G19" s="33" t="n">
        <v>0.002544529262086514</v>
      </c>
      <c r="H19" s="33" t="n">
        <v>0.0022264631043257</v>
      </c>
      <c r="I19" s="33" t="n">
        <v>0.002067430025445292</v>
      </c>
      <c r="J19" s="34" t="n"/>
      <c r="K19" s="34" t="n"/>
      <c r="L19" s="34" t="n"/>
      <c r="M19" s="34" t="n"/>
      <c r="N19" s="34" t="n"/>
      <c r="O19" s="34" t="n"/>
    </row>
    <row r="20">
      <c r="B20" s="32" t="inlineStr">
        <is>
          <t>2018-03</t>
        </is>
      </c>
      <c r="C20" s="33" t="n">
        <v>1</v>
      </c>
      <c r="D20" s="33" t="n">
        <v>0.003985828166519044</v>
      </c>
      <c r="E20" s="33" t="n">
        <v>0.002952465308532625</v>
      </c>
      <c r="F20" s="33" t="n">
        <v>0.002952465308532625</v>
      </c>
      <c r="G20" s="33" t="n">
        <v>0.00118098612341305</v>
      </c>
      <c r="H20" s="33" t="n">
        <v>0.00118098612341305</v>
      </c>
      <c r="I20" s="34" t="n"/>
      <c r="J20" s="34" t="n"/>
      <c r="K20" s="34" t="n"/>
      <c r="L20" s="34" t="n"/>
      <c r="M20" s="34" t="n"/>
      <c r="N20" s="34" t="n"/>
      <c r="O20" s="34" t="n"/>
    </row>
    <row r="21">
      <c r="B21" s="32" t="inlineStr">
        <is>
          <t>2018-04</t>
        </is>
      </c>
      <c r="C21" s="33" t="n">
        <v>1</v>
      </c>
      <c r="D21" s="33" t="n">
        <v>0.005925250683682771</v>
      </c>
      <c r="E21" s="33" t="n">
        <v>0.003038590094196293</v>
      </c>
      <c r="F21" s="33" t="n">
        <v>0.002430872075357034</v>
      </c>
      <c r="G21" s="33" t="n">
        <v>0.001367365542388332</v>
      </c>
      <c r="H21" s="34" t="n"/>
      <c r="I21" s="34" t="n"/>
      <c r="J21" s="34" t="n"/>
      <c r="K21" s="34" t="n"/>
      <c r="L21" s="34" t="n"/>
      <c r="M21" s="34" t="n"/>
      <c r="N21" s="34" t="n"/>
      <c r="O21" s="34" t="n"/>
    </row>
    <row r="22">
      <c r="B22" s="32" t="inlineStr">
        <is>
          <t>2018-05</t>
        </is>
      </c>
      <c r="C22" s="33" t="n">
        <v>1</v>
      </c>
      <c r="D22" s="33" t="n">
        <v>0.00522594528127882</v>
      </c>
      <c r="E22" s="33" t="n">
        <v>0.00261297264063941</v>
      </c>
      <c r="F22" s="33" t="n">
        <v>0.001844451275745466</v>
      </c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</row>
    <row r="23">
      <c r="B23" s="32" t="inlineStr">
        <is>
          <t>2018-06</t>
        </is>
      </c>
      <c r="C23" s="33" t="n">
        <v>1</v>
      </c>
      <c r="D23" s="33" t="n">
        <v>0.004253147329023477</v>
      </c>
      <c r="E23" s="33" t="n">
        <v>0.002722014290575025</v>
      </c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</row>
    <row r="24">
      <c r="B24" s="32" t="inlineStr">
        <is>
          <t>2018-07</t>
        </is>
      </c>
      <c r="C24" s="33" t="n">
        <v>1</v>
      </c>
      <c r="D24" s="33" t="n">
        <v>0.005210959825180704</v>
      </c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</row>
    <row r="25">
      <c r="B25" s="32" t="inlineStr">
        <is>
          <t>2018-08</t>
        </is>
      </c>
      <c r="C25" s="33" t="n">
        <v>1</v>
      </c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</row>
    <row r="28">
      <c r="B28" s="5" t="inlineStr">
        <is>
          <t>KEY READINGS</t>
        </is>
      </c>
    </row>
    <row r="29">
      <c r="B29" s="4" t="inlineStr">
        <is>
          <t>• M0 = 100% by definition (everyone bought in their cohort month)</t>
        </is>
      </c>
    </row>
    <row r="30">
      <c r="B30" s="4" t="inlineStr">
        <is>
          <t>• M1 = 0.2–0.7% across nearly all cohorts → 99%+ never come back next month</t>
        </is>
      </c>
    </row>
    <row r="31">
      <c r="B31" s="4" t="inlineStr">
        <is>
          <t>• Mature e-commerce benchmark: M1 ≈ 5–15%. Olist is 1–2 orders of magnitude below</t>
        </is>
      </c>
    </row>
    <row r="32">
      <c r="B32" s="4" t="inlineStr">
        <is>
          <t>• 93,358 unique customers → only 1,693 (1.81%) bought in more than one month</t>
        </is>
      </c>
    </row>
    <row r="33">
      <c r="B33" s="4" t="inlineStr">
        <is>
          <t>• Implication: this is not a 'low retention' problem — retention essentially does not exist as a behavior</t>
        </is>
      </c>
    </row>
    <row r="34">
      <c r="B34" s="4" t="inlineStr">
        <is>
          <t>• Hypotheses for v2: (a) Brazil-wide e-comm pattern? (b) Product mix skewed to one-time durables? (c) No loyalty program?</t>
        </is>
      </c>
    </row>
  </sheetData>
  <mergeCells count="8">
    <mergeCell ref="B30:O30"/>
    <mergeCell ref="B2:O2"/>
    <mergeCell ref="B29:O29"/>
    <mergeCell ref="B33:O33"/>
    <mergeCell ref="B3:O3"/>
    <mergeCell ref="B34:O34"/>
    <mergeCell ref="B31:O31"/>
    <mergeCell ref="B32:O32"/>
  </mergeCells>
  <conditionalFormatting sqref="D6:O25">
    <cfRule type="colorScale" priority="1">
      <colorScale>
        <cfvo type="num" val="0"/>
        <cfvo type="num" val="0.05"/>
        <cfvo type="num" val="0.1"/>
        <color rgb="00FFFFFF"/>
        <color rgb="00F4D35E"/>
        <color rgb="00E07B39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G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2" customWidth="1" min="8" max="8"/>
  </cols>
  <sheetData>
    <row r="2">
      <c r="B2" s="20" t="inlineStr">
        <is>
          <t>🎯 At-Risk Win-back ROI Calculator</t>
        </is>
      </c>
    </row>
    <row r="3">
      <c r="B3" s="18" t="inlineStr">
        <is>
          <t>Edit the YELLOW cells. All scenario columns recompute live.</t>
        </is>
      </c>
    </row>
    <row r="5">
      <c r="A5" s="21" t="inlineStr">
        <is>
          <t>INPUTS — edit me</t>
        </is>
      </c>
    </row>
    <row r="6">
      <c r="B6" s="9" t="inlineStr">
        <is>
          <t>Parameter</t>
        </is>
      </c>
      <c r="C6" s="9" t="inlineStr">
        <is>
          <t>Value</t>
        </is>
      </c>
      <c r="D6" s="9" t="inlineStr">
        <is>
          <t>Format</t>
        </is>
      </c>
      <c r="E6" s="9" t="inlineStr">
        <is>
          <t>Notes</t>
        </is>
      </c>
    </row>
    <row r="7">
      <c r="B7" s="13" t="inlineStr">
        <is>
          <t>At-risk customers (segment size)</t>
        </is>
      </c>
      <c r="C7" s="35" t="n">
        <v>21975</v>
      </c>
      <c r="D7" s="36" t="inlineStr">
        <is>
          <t>#,##0</t>
        </is>
      </c>
      <c r="E7" s="36" t="inlineStr">
        <is>
          <t>From RFM analysis</t>
        </is>
      </c>
    </row>
    <row r="8">
      <c r="B8" s="13" t="inlineStr">
        <is>
          <t>Avg ARPU per customer (R$)</t>
        </is>
      </c>
      <c r="C8" s="37" t="n">
        <v>213</v>
      </c>
      <c r="D8" s="36" t="inlineStr">
        <is>
          <t>0</t>
        </is>
      </c>
      <c r="E8" s="36" t="inlineStr">
        <is>
          <t>Historical average for At-Risk segment</t>
        </is>
      </c>
    </row>
    <row r="9">
      <c r="B9" s="13" t="inlineStr">
        <is>
          <t>Repeat-spend rate (% of ARPU on win-back order)</t>
        </is>
      </c>
      <c r="C9" s="38" t="n">
        <v>0.5</v>
      </c>
      <c r="D9" s="36" t="inlineStr">
        <is>
          <t>0%</t>
        </is>
      </c>
      <c r="E9" s="36" t="inlineStr">
        <is>
          <t>Conservative: assumes win-back order = 50% of historical average</t>
        </is>
      </c>
    </row>
    <row r="10">
      <c r="B10" s="13" t="inlineStr">
        <is>
          <t>Total CRM cost (R$)</t>
        </is>
      </c>
      <c r="C10" s="35" t="n">
        <v>50000</v>
      </c>
      <c r="D10" s="36" t="inlineStr">
        <is>
          <t>#,##0</t>
        </is>
      </c>
      <c r="E10" s="36" t="inlineStr">
        <is>
          <t>Email + discount voucher budget</t>
        </is>
      </c>
    </row>
    <row r="13">
      <c r="A13" s="21" t="inlineStr">
        <is>
          <t>SCENARIO OUTPUTS — recomputes live</t>
        </is>
      </c>
    </row>
    <row r="14">
      <c r="B14" s="9" t="inlineStr">
        <is>
          <t>Metric</t>
        </is>
      </c>
      <c r="C14" s="9" t="inlineStr">
        <is>
          <t>Conservative (5%)</t>
        </is>
      </c>
      <c r="D14" s="9" t="inlineStr">
        <is>
          <t>Optimistic (10%)</t>
        </is>
      </c>
      <c r="E14" s="9" t="inlineStr">
        <is>
          <t>Aggressive (20%)</t>
        </is>
      </c>
      <c r="F14" s="9" t="inlineStr">
        <is>
          <t>Custom</t>
        </is>
      </c>
    </row>
    <row r="15">
      <c r="B15" s="13" t="inlineStr">
        <is>
          <t>Recall rate (%)</t>
        </is>
      </c>
      <c r="D15" s="39" t="n">
        <v>0.05</v>
      </c>
      <c r="E15" s="39" t="n">
        <v>0.1</v>
      </c>
      <c r="F15" s="39" t="n">
        <v>0.2</v>
      </c>
      <c r="G15" s="40" t="n">
        <v>0.1</v>
      </c>
    </row>
    <row r="16">
      <c r="B16" s="13" t="inlineStr">
        <is>
          <t>Recalled customers</t>
        </is>
      </c>
      <c r="D16" s="41">
        <f>$C$7*D15</f>
        <v/>
      </c>
      <c r="E16" s="41">
        <f>$C$7*E15</f>
        <v/>
      </c>
      <c r="F16" s="41">
        <f>$C$7*F15</f>
        <v/>
      </c>
      <c r="G16" s="41">
        <f>$C$7*G15</f>
        <v/>
      </c>
    </row>
    <row r="17">
      <c r="B17" s="13" t="inlineStr">
        <is>
          <t>Incremental revenue (R$)</t>
        </is>
      </c>
      <c r="D17" s="41">
        <f>$C$7*D15*$C$8*$C$9</f>
        <v/>
      </c>
      <c r="E17" s="41">
        <f>$C$7*E15*$C$8*$C$9</f>
        <v/>
      </c>
      <c r="F17" s="41">
        <f>$C$7*F15*$C$8*$C$9</f>
        <v/>
      </c>
      <c r="G17" s="41">
        <f>$C$7*G15*$C$8*$C$9</f>
        <v/>
      </c>
    </row>
    <row r="18">
      <c r="B18" s="13" t="inlineStr">
        <is>
          <t>CRM cost (R$)</t>
        </is>
      </c>
      <c r="D18" s="41">
        <f>$C$10</f>
        <v/>
      </c>
      <c r="E18" s="41">
        <f>$C$10</f>
        <v/>
      </c>
      <c r="F18" s="41">
        <f>$C$10</f>
        <v/>
      </c>
      <c r="G18" s="41">
        <f>$C$10</f>
        <v/>
      </c>
    </row>
    <row r="19">
      <c r="B19" s="13" t="inlineStr">
        <is>
          <t>Net contribution (R$)</t>
        </is>
      </c>
      <c r="D19" s="42">
        <f>D17-D18</f>
        <v/>
      </c>
      <c r="E19" s="42">
        <f>E17-E18</f>
        <v/>
      </c>
      <c r="F19" s="42">
        <f>F17-F18</f>
        <v/>
      </c>
      <c r="G19" s="42">
        <f>G17-G18</f>
        <v/>
      </c>
    </row>
    <row r="20">
      <c r="B20" s="43" t="inlineStr">
        <is>
          <t>ROI (×)</t>
        </is>
      </c>
      <c r="D20" s="44">
        <f>D17/D18</f>
        <v/>
      </c>
      <c r="E20" s="44">
        <f>E17/E18</f>
        <v/>
      </c>
      <c r="F20" s="44">
        <f>F17/F18</f>
        <v/>
      </c>
      <c r="G20" s="44">
        <f>G17/G18</f>
        <v/>
      </c>
    </row>
    <row r="22">
      <c r="B22" s="5" t="inlineStr">
        <is>
          <t>FORMULA</t>
        </is>
      </c>
    </row>
    <row r="23">
      <c r="B23" s="45" t="inlineStr">
        <is>
          <t>Incremental revenue  =  At-risk × Recall rate × ARPU × Repeat-spend %</t>
        </is>
      </c>
    </row>
    <row r="24">
      <c r="B24" s="45" t="inlineStr">
        <is>
          <t>ROI                     =  Incremental revenue ÷ CRM cost</t>
        </is>
      </c>
    </row>
    <row r="26">
      <c r="B26" s="5" t="inlineStr">
        <is>
          <t>ACTION PRIORITY</t>
        </is>
      </c>
    </row>
    <row r="27">
      <c r="B27" s="4" t="inlineStr">
        <is>
          <t>1. Wave 1: personalized EDM by historical category to all 21,975 at-risk customers (~R$ 50K)</t>
        </is>
      </c>
    </row>
    <row r="28">
      <c r="B28" s="4" t="inlineStr">
        <is>
          <t>2. Track funnel: open → click → conversion → incremental revenue vs. holdout</t>
        </is>
      </c>
    </row>
    <row r="29">
      <c r="B29" s="4" t="inlineStr">
        <is>
          <t>3. If recall rate &gt; 8%: 2× budget, add SMS + retargeting touchpoints</t>
        </is>
      </c>
    </row>
    <row r="30">
      <c r="B30" s="4" t="inlineStr">
        <is>
          <t>4. If recall rate &lt; 3%: switch lever from discount to free shipping (esp. for remote states)</t>
        </is>
      </c>
    </row>
  </sheetData>
  <mergeCells count="10">
    <mergeCell ref="B3:G3"/>
    <mergeCell ref="B2:G2"/>
    <mergeCell ref="A13:G13"/>
    <mergeCell ref="B24:G24"/>
    <mergeCell ref="B28:G28"/>
    <mergeCell ref="B23:G23"/>
    <mergeCell ref="B27:G27"/>
    <mergeCell ref="B30:G30"/>
    <mergeCell ref="B29:G29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6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8" customWidth="1" min="4" max="4"/>
    <col width="14" customWidth="1" min="5" max="5"/>
    <col width="18" customWidth="1" min="6" max="6"/>
    <col width="2" customWidth="1" min="7" max="7"/>
  </cols>
  <sheetData>
    <row r="2">
      <c r="B2" s="20" t="inlineStr">
        <is>
          <t>Brazil's Installment Culture — The Hidden CRM Lever</t>
        </is>
      </c>
    </row>
    <row r="3">
      <c r="B3" s="18" t="inlineStr">
        <is>
          <t>Brazil-specific differentiator: 73.9% of orders use credit_card, avg 3.5 installments. Two questions: does longer financing → higher AOV? → higher repeat?</t>
        </is>
      </c>
    </row>
    <row r="5">
      <c r="B5" s="9" t="inlineStr">
        <is>
          <t>Installment bucket</t>
        </is>
      </c>
      <c r="C5" s="9" t="inlineStr">
        <is>
          <t>Orders</t>
        </is>
      </c>
      <c r="D5" s="9" t="inlineStr">
        <is>
          <t>Avg ticket (R$)</t>
        </is>
      </c>
      <c r="E5" s="9" t="inlineStr">
        <is>
          <t>Customers</t>
        </is>
      </c>
      <c r="F5" s="9" t="inlineStr">
        <is>
          <t>Repeat rate %</t>
        </is>
      </c>
    </row>
    <row r="6">
      <c r="B6" s="27" t="inlineStr">
        <is>
          <t>1 (single)</t>
        </is>
      </c>
      <c r="C6" s="28" t="n">
        <v>25455</v>
      </c>
      <c r="D6" s="31" t="n">
        <v>95.87</v>
      </c>
      <c r="E6" s="28" t="n">
        <v>23931</v>
      </c>
      <c r="F6" s="46" t="n">
        <v>0.0251</v>
      </c>
    </row>
    <row r="7">
      <c r="B7" s="27" t="inlineStr">
        <is>
          <t>2–3 installments</t>
        </is>
      </c>
      <c r="C7" s="28" t="n">
        <v>22874</v>
      </c>
      <c r="D7" s="31" t="n">
        <v>134.23</v>
      </c>
      <c r="E7" s="28" t="n">
        <v>21502</v>
      </c>
      <c r="F7" s="46" t="n">
        <v>0.0281</v>
      </c>
    </row>
    <row r="8">
      <c r="B8" s="27" t="inlineStr">
        <is>
          <t>4–6 installments</t>
        </is>
      </c>
      <c r="C8" s="28" t="n">
        <v>16257</v>
      </c>
      <c r="D8" s="31" t="n">
        <v>181.32</v>
      </c>
      <c r="E8" s="28" t="n">
        <v>15173</v>
      </c>
      <c r="F8" s="46" t="n">
        <v>0.0318</v>
      </c>
    </row>
    <row r="9">
      <c r="B9" s="27" t="inlineStr">
        <is>
          <t>7–10 installments</t>
        </is>
      </c>
      <c r="C9" s="28" t="n">
        <v>11866</v>
      </c>
      <c r="D9" s="31" t="n">
        <v>333.83</v>
      </c>
      <c r="E9" s="28" t="n">
        <v>10966</v>
      </c>
      <c r="F9" s="46" t="n">
        <v>0.0413</v>
      </c>
    </row>
    <row r="10">
      <c r="B10" s="27" t="inlineStr">
        <is>
          <t>11+ installments</t>
        </is>
      </c>
      <c r="C10" s="28" t="n">
        <v>341</v>
      </c>
      <c r="D10" s="31" t="n">
        <v>358.34</v>
      </c>
      <c r="E10" s="28" t="n">
        <v>311</v>
      </c>
      <c r="F10" s="46" t="n">
        <v>0.0418</v>
      </c>
    </row>
    <row r="53">
      <c r="B53" s="5" t="inlineStr">
        <is>
          <t>TWO FINDINGS &amp; LEVERS</t>
        </is>
      </c>
    </row>
    <row r="54">
      <c r="B54" s="4" t="inlineStr">
        <is>
          <t>• Revenue lever — 7–10 installments AOV is 3.48× single payment (R$ 334 vs R$ 96). Linear, no inversion.</t>
        </is>
      </c>
    </row>
    <row r="55">
      <c r="B55" s="4" t="inlineStr">
        <is>
          <t>• Retention lever — 7–10 installment customers repeat 65% more often (4.13% vs 2.51%). They're the rare customers who do come back.</t>
        </is>
      </c>
    </row>
    <row r="56">
      <c r="B56" s="4" t="inlineStr">
        <is>
          <t>• Why? Multi-month installment ledger keeps customers transactionally engaged with Olist → installments = invisible CRM.</t>
        </is>
      </c>
    </row>
    <row r="57">
      <c r="B57" s="4" t="inlineStr">
        <is>
          <t>• Action 1: promote 7+ installment plans on home + checkout (currently only 15% of credit-card orders).</t>
        </is>
      </c>
    </row>
    <row r="58">
      <c r="B58" s="4" t="inlineStr">
        <is>
          <t>• Action 2: send 'no-interest installment' EDM to single-payment customers on second visit.</t>
        </is>
      </c>
    </row>
    <row r="59">
      <c r="B59" s="4" t="inlineStr">
        <is>
          <t>• Action 3: negotiate longer interest-free terms with issuers (8 months is sweet spot, n=4,268; test 12).</t>
        </is>
      </c>
    </row>
    <row r="60">
      <c r="B60" s="4" t="inlineStr">
        <is>
          <t>• Caveat: causality not proven — could be 'high ticket → must installment'. A/B test installment availability on same SKU page.</t>
        </is>
      </c>
    </row>
  </sheetData>
  <mergeCells count="9">
    <mergeCell ref="B55:F55"/>
    <mergeCell ref="B2:F2"/>
    <mergeCell ref="B54:F54"/>
    <mergeCell ref="B58:F58"/>
    <mergeCell ref="B3:F3"/>
    <mergeCell ref="B59:F59"/>
    <mergeCell ref="B60:F60"/>
    <mergeCell ref="B56:F56"/>
    <mergeCell ref="B57:F57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8" customWidth="1" min="3" max="3"/>
    <col width="18" customWidth="1" min="4" max="4"/>
    <col width="18" customWidth="1" min="5" max="5"/>
    <col width="2" customWidth="1" min="6" max="6"/>
  </cols>
  <sheetData>
    <row r="2">
      <c r="B2" s="20" t="inlineStr">
        <is>
          <t>Logistics — Estimated vs Actual Delivery (by State)</t>
        </is>
      </c>
    </row>
    <row r="3">
      <c r="B3" s="18" t="inlineStr">
        <is>
          <t>National avg actual = 15.4 days. ETA avg = 24 days. Platform under-promises by 36% — opportunity to tighten ETA messaging.</t>
        </is>
      </c>
    </row>
    <row r="5">
      <c r="B5" s="9" t="inlineStr">
        <is>
          <t>State</t>
        </is>
      </c>
      <c r="C5" s="9" t="inlineStr">
        <is>
          <t>Actual days</t>
        </is>
      </c>
      <c r="D5" s="9" t="inlineStr">
        <is>
          <t>Estimated days</t>
        </is>
      </c>
      <c r="E5" s="9" t="inlineStr">
        <is>
          <t>ETA gap (days)</t>
        </is>
      </c>
    </row>
    <row r="6">
      <c r="B6" s="13" t="inlineStr">
        <is>
          <t>SP</t>
        </is>
      </c>
      <c r="C6" s="30" t="n">
        <v>8.800000000000001</v>
      </c>
      <c r="D6" s="30" t="n">
        <v>19.1</v>
      </c>
      <c r="E6" s="30" t="n">
        <v>10.3</v>
      </c>
    </row>
    <row r="7">
      <c r="B7" s="13" t="inlineStr">
        <is>
          <t>MG</t>
        </is>
      </c>
      <c r="C7" s="30" t="n">
        <v>12</v>
      </c>
      <c r="D7" s="30" t="n">
        <v>24.5</v>
      </c>
      <c r="E7" s="30" t="n">
        <v>12.5</v>
      </c>
    </row>
    <row r="8">
      <c r="B8" s="13" t="inlineStr">
        <is>
          <t>PR</t>
        </is>
      </c>
      <c r="C8" s="30" t="n">
        <v>12</v>
      </c>
      <c r="D8" s="30" t="n">
        <v>24.6</v>
      </c>
      <c r="E8" s="30" t="n">
        <v>12.6</v>
      </c>
    </row>
    <row r="9">
      <c r="B9" s="13" t="inlineStr">
        <is>
          <t>DF</t>
        </is>
      </c>
      <c r="C9" s="30" t="n">
        <v>13</v>
      </c>
      <c r="D9" s="30" t="n">
        <v>24.3</v>
      </c>
      <c r="E9" s="30" t="n">
        <v>11.3</v>
      </c>
    </row>
    <row r="10">
      <c r="B10" s="13" t="inlineStr">
        <is>
          <t>SC</t>
        </is>
      </c>
      <c r="C10" s="30" t="n">
        <v>15</v>
      </c>
      <c r="D10" s="30" t="n">
        <v>25.8</v>
      </c>
      <c r="E10" s="30" t="n">
        <v>10.8</v>
      </c>
    </row>
    <row r="11">
      <c r="B11" s="13" t="inlineStr">
        <is>
          <t>RJ</t>
        </is>
      </c>
      <c r="C11" s="30" t="n">
        <v>15.3</v>
      </c>
      <c r="D11" s="30" t="n">
        <v>26.4</v>
      </c>
      <c r="E11" s="30" t="n">
        <v>11.1</v>
      </c>
    </row>
    <row r="12">
      <c r="B12" s="13" t="inlineStr">
        <is>
          <t>RS</t>
        </is>
      </c>
      <c r="C12" s="30" t="n">
        <v>15.3</v>
      </c>
      <c r="D12" s="30" t="n">
        <v>28.5</v>
      </c>
      <c r="E12" s="30" t="n">
        <v>13.2</v>
      </c>
    </row>
    <row r="13">
      <c r="B13" s="13" t="inlineStr">
        <is>
          <t>GO</t>
        </is>
      </c>
      <c r="C13" s="30" t="n">
        <v>15.6</v>
      </c>
      <c r="D13" s="30" t="n">
        <v>27.1</v>
      </c>
      <c r="E13" s="30" t="n">
        <v>11.5</v>
      </c>
    </row>
    <row r="14">
      <c r="B14" s="13" t="inlineStr">
        <is>
          <t>MS</t>
        </is>
      </c>
      <c r="C14" s="30" t="n">
        <v>15.6</v>
      </c>
      <c r="D14" s="30" t="n">
        <v>26</v>
      </c>
      <c r="E14" s="30" t="n">
        <v>10.4</v>
      </c>
    </row>
    <row r="15">
      <c r="B15" s="13" t="inlineStr">
        <is>
          <t>ES</t>
        </is>
      </c>
      <c r="C15" s="30" t="n">
        <v>15.8</v>
      </c>
      <c r="D15" s="30" t="n">
        <v>25.6</v>
      </c>
      <c r="E15" s="30" t="n">
        <v>9.800000000000001</v>
      </c>
    </row>
    <row r="16">
      <c r="B16" s="13" t="inlineStr">
        <is>
          <t>TO</t>
        </is>
      </c>
      <c r="C16" s="30" t="n">
        <v>17.7</v>
      </c>
      <c r="D16" s="30" t="n">
        <v>29.1</v>
      </c>
      <c r="E16" s="30" t="n">
        <v>11.4</v>
      </c>
    </row>
    <row r="17">
      <c r="B17" s="13" t="inlineStr">
        <is>
          <t>MT</t>
        </is>
      </c>
      <c r="C17" s="30" t="n">
        <v>18.1</v>
      </c>
      <c r="D17" s="30" t="n">
        <v>31.7</v>
      </c>
      <c r="E17" s="30" t="n">
        <v>13.6</v>
      </c>
    </row>
    <row r="18">
      <c r="B18" s="13" t="inlineStr">
        <is>
          <t>PE</t>
        </is>
      </c>
      <c r="C18" s="30" t="n">
        <v>18.4</v>
      </c>
      <c r="D18" s="30" t="n">
        <v>31.1</v>
      </c>
      <c r="E18" s="30" t="n">
        <v>12.7</v>
      </c>
    </row>
    <row r="19">
      <c r="B19" s="13" t="inlineStr">
        <is>
          <t>BA</t>
        </is>
      </c>
      <c r="C19" s="30" t="n">
        <v>19.3</v>
      </c>
      <c r="D19" s="30" t="n">
        <v>29.4</v>
      </c>
      <c r="E19" s="30" t="n">
        <v>10.1</v>
      </c>
    </row>
    <row r="20">
      <c r="B20" s="13" t="inlineStr">
        <is>
          <t>RN</t>
        </is>
      </c>
      <c r="C20" s="30" t="n">
        <v>19.3</v>
      </c>
      <c r="D20" s="30" t="n">
        <v>32.2</v>
      </c>
      <c r="E20" s="30" t="n">
        <v>12.9</v>
      </c>
    </row>
    <row r="23">
      <c r="B23" s="5" t="inlineStr">
        <is>
          <t>LOGISTICS INSIGHTS</t>
        </is>
      </c>
    </row>
    <row r="24">
      <c r="B24" s="4" t="inlineStr">
        <is>
          <t>• SP (8.8d) vs RN (19.3d) = 2.2× state-level gap. Replicate SP fulfillment model in high-order states.</t>
        </is>
      </c>
    </row>
    <row r="25">
      <c r="B25" s="4" t="inlineStr">
        <is>
          <t>• Platform-wide ETA is conservative by 36%. Marketing pages can show tighter promises → conversion lift.</t>
        </is>
      </c>
    </row>
    <row r="26">
      <c r="B26" s="4" t="inlineStr">
        <is>
          <t>• Cross-analyze 1-star reviews with delivery delay &gt; ETA to quantify NPS impact.</t>
        </is>
      </c>
    </row>
    <row r="27">
      <c r="B27" s="4" t="inlineStr">
        <is>
          <t>• Remote states need free-shipping levers (per ROI sheet's 'switch to free shipping' branch).</t>
        </is>
      </c>
    </row>
  </sheetData>
  <mergeCells count="6">
    <mergeCell ref="B26:E26"/>
    <mergeCell ref="B27:E27"/>
    <mergeCell ref="B25:E25"/>
    <mergeCell ref="B24:E24"/>
    <mergeCell ref="B3:E3"/>
    <mergeCell ref="B2:E2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D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60" customWidth="1" min="3" max="3"/>
    <col width="30" customWidth="1" min="4" max="4"/>
  </cols>
  <sheetData>
    <row r="2">
      <c r="B2" s="20" t="inlineStr">
        <is>
          <t>Methodology &amp; Tech Stack</t>
        </is>
      </c>
    </row>
    <row r="4">
      <c r="A4" s="21" t="inlineStr">
        <is>
          <t>Tech stack &amp; why</t>
        </is>
      </c>
    </row>
    <row r="5">
      <c r="B5" s="9" t="inlineStr">
        <is>
          <t>Tool</t>
        </is>
      </c>
      <c r="C5" s="9" t="inlineStr">
        <is>
          <t>Role</t>
        </is>
      </c>
    </row>
    <row r="6">
      <c r="B6" s="13" t="inlineStr">
        <is>
          <t>Python 3.12</t>
        </is>
      </c>
      <c r="C6" s="15" t="inlineStr">
        <is>
          <t>Glue language for ETL + analysis</t>
        </is>
      </c>
    </row>
    <row r="7">
      <c r="B7" s="13" t="inlineStr">
        <is>
          <t>SQLite + SQL</t>
        </is>
      </c>
      <c r="C7" s="15" t="inlineStr">
        <is>
          <t>9-table schema; SQL Window Functions for RFM (NTILE)</t>
        </is>
      </c>
    </row>
    <row r="8">
      <c r="B8" s="13" t="inlineStr">
        <is>
          <t>pandas</t>
        </is>
      </c>
      <c r="C8" s="15" t="inlineStr">
        <is>
          <t>Cohort matrix + installment bucketing</t>
        </is>
      </c>
    </row>
    <row r="9">
      <c r="B9" s="13" t="inlineStr">
        <is>
          <t>matplotlib</t>
        </is>
      </c>
      <c r="C9" s="15" t="inlineStr">
        <is>
          <t>Static portfolio charts (cohort, installments)</t>
        </is>
      </c>
    </row>
    <row r="10">
      <c r="B10" s="13" t="inlineStr">
        <is>
          <t>Streamlit</t>
        </is>
      </c>
      <c r="C10" s="15" t="inlineStr">
        <is>
          <t>Interactive 5-page dashboard with ROI calculator</t>
        </is>
      </c>
    </row>
    <row r="11">
      <c r="B11" s="13" t="inlineStr">
        <is>
          <t>Tableau Public</t>
        </is>
      </c>
      <c r="C11" s="15" t="inlineStr">
        <is>
          <t>Stakeholder-facing dashboard</t>
        </is>
      </c>
    </row>
    <row r="12">
      <c r="B12" s="13" t="inlineStr">
        <is>
          <t>openpyxl</t>
        </is>
      </c>
      <c r="C12" s="15" t="inlineStr">
        <is>
          <t>This Excel portfolio (live formulas + conditional formatting)</t>
        </is>
      </c>
    </row>
    <row r="14">
      <c r="A14" s="21" t="inlineStr">
        <is>
          <t>Core SQL — RFM with NTILE Window Function</t>
        </is>
      </c>
    </row>
    <row r="15" ht="380" customHeight="1">
      <c r="B15" s="47" t="inlineStr">
        <is>
          <t>WITH snapshot AS (
    SELECT MAX(order_purchase_timestamp) AS snapshot_date
    FROM orders WHERE order_status = 'delivered'
),
rfm_base AS (
    SELECT c.customer_unique_id,
           ROUND(JULIANDAY((SELECT snapshot_date FROM snapshot))
                 - JULIANDAY(MAX(o.order_purchase_timestamp)), 0) AS recency_days,
           COUNT(DISTINCT o.order_id) AS frequency,
           ROUND(SUM(oi.price), 2)    AS monetary
    FROM orders o
    JOIN order_items oi ON o.order_id = oi.order_id
    JOIN customers   c  ON o.customer_id = c.customer_id
    WHERE o.order_status = 'delivered'
    GROUP BY c.customer_unique_id
),
rfm_scored AS (
    SELECT *,
        NTILE(5) OVER (ORDER BY recency_days DESC) AS r_score,
        NTILE(5) OVER (ORDER BY frequency    ASC ) AS f_score,
        NTILE(5) OVER (ORDER BY monetary     ASC ) AS m_score
    FROM rfm_base
)
SELECT CASE
    WHEN r_score&gt;=4 AND f_score&gt;=4 AND m_score&gt;=4 THEN 'Champions'
    WHEN r_score&gt;=4 AND f_score&gt;=3                THEN 'Loyal'
    WHEN r_score&gt;=4                               THEN 'Potential New'
    WHEN r_score&lt;=2 AND f_score&gt;=3                THEN 'At Risk'
    WHEN r_score&lt;=2                               THEN 'Lost'
    ELSE                                                'Average'
END AS segment, COUNT(*) AS customers, ROUND(AVG(monetary),2) AS arpu,
  ROUND(SUM(monetary),2) AS revenue
FROM rfm_scored GROUP BY segment ORDER BY revenue DESC;</t>
        </is>
      </c>
      <c r="C15" s="48" t="n"/>
    </row>
    <row r="17">
      <c r="A17" s="21" t="inlineStr">
        <is>
          <t>Why NTILE (SQL) over pandas qcut</t>
        </is>
      </c>
    </row>
    <row r="18">
      <c r="B18" s="9" t="inlineStr">
        <is>
          <t>Dimension</t>
        </is>
      </c>
      <c r="C18" s="9" t="inlineStr">
        <is>
          <t>NTILE (SQL)</t>
        </is>
      </c>
      <c r="D18" s="9" t="inlineStr">
        <is>
          <t>pandas qcut</t>
        </is>
      </c>
    </row>
    <row r="19">
      <c r="B19" s="13" t="inlineStr">
        <is>
          <t>Portability</t>
        </is>
      </c>
      <c r="C19" s="15" t="inlineStr">
        <is>
          <t>Snowflake / BigQuery / Redshift / SQLite all run identical SQL</t>
        </is>
      </c>
      <c r="D19" s="15" t="inlineStr">
        <is>
          <t>Python only</t>
        </is>
      </c>
    </row>
    <row r="20">
      <c r="B20" s="13" t="inlineStr">
        <is>
          <t>Scale</t>
        </is>
      </c>
      <c r="C20" s="15" t="inlineStr">
        <is>
          <t>Runs in DB — handles tens of millions of rows</t>
        </is>
      </c>
      <c r="D20" s="15" t="inlineStr">
        <is>
          <t>Pulls all rows into Python memory</t>
        </is>
      </c>
    </row>
    <row r="21">
      <c r="B21" s="13" t="inlineStr">
        <is>
          <t>Orchestration</t>
        </is>
      </c>
      <c r="C21" s="15" t="inlineStr">
        <is>
          <t>Slots into dbt / Airflow</t>
        </is>
      </c>
      <c r="D21" s="15" t="inlineStr">
        <is>
          <t>Needs custom wrapper</t>
        </is>
      </c>
    </row>
    <row r="22">
      <c r="B22" s="13" t="inlineStr">
        <is>
          <t>Hiring signal</t>
        </is>
      </c>
      <c r="C22" s="15" t="inlineStr">
        <is>
          <t>'Knows the warehouse' = senior signal</t>
        </is>
      </c>
      <c r="D22" s="15" t="inlineStr">
        <is>
          <t>'Knows pandas' = junior signal</t>
        </is>
      </c>
    </row>
    <row r="24">
      <c r="A24" s="21" t="inlineStr">
        <is>
          <t>Caveats &amp; next steps (honest disclosure)</t>
        </is>
      </c>
    </row>
    <row r="25">
      <c r="B25" s="4" t="inlineStr">
        <is>
          <t>• F dimension has near-zero variance — segmentation is effectively R × M. Acknowledged in v1.</t>
        </is>
      </c>
    </row>
    <row r="26">
      <c r="B26" s="4" t="inlineStr">
        <is>
          <t>• 'Loyal' segment ARPU is low (R$ 89) because the rule sets R≥4, F≥3 without M floor — v2 adds M condition.</t>
        </is>
      </c>
    </row>
    <row r="27">
      <c r="B27" s="4" t="inlineStr">
        <is>
          <t>• 2018 data truncated at 2018-10. Apparent post-Sep dip is data cutoff, not real decline.</t>
        </is>
      </c>
    </row>
    <row r="28">
      <c r="B28" s="4" t="inlineStr">
        <is>
          <t>• Causality between installments → AOV not established — needs A/B test on identical SKU pages.</t>
        </is>
      </c>
    </row>
    <row r="29">
      <c r="B29" s="4" t="inlineStr">
        <is>
          <t>• Next: review-score vs. delivery-delay correlation (Pearson/Spearman); Prophet/ARIMA forecast on monthly GMV.</t>
        </is>
      </c>
    </row>
  </sheetData>
  <mergeCells count="11">
    <mergeCell ref="B28:D28"/>
    <mergeCell ref="A17:D17"/>
    <mergeCell ref="B2:C2"/>
    <mergeCell ref="B15:C15"/>
    <mergeCell ref="A4:D4"/>
    <mergeCell ref="B26:D26"/>
    <mergeCell ref="B27:D27"/>
    <mergeCell ref="A24:D24"/>
    <mergeCell ref="B29:D29"/>
    <mergeCell ref="B25:D25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2026-05-07T10:42:21Z</dcterms:created>
  <dcterms:modified xsi:type="dcterms:W3CDTF">2026-05-07T10:42:21Z</dcterms:modified>
</cp:coreProperties>
</file>