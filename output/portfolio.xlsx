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A92C6E13-9971-4105-9276-B5AED1D853E4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4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D31" i="3" s="1"/>
  <c r="C119" i="11"/>
  <c r="C118" i="11"/>
  <c r="C117" i="11"/>
  <c r="D28" i="3" s="1"/>
  <c r="C116" i="11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D16" i="7"/>
  <c r="C8" i="7"/>
  <c r="C7" i="7"/>
  <c r="C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E39" i="3"/>
  <c r="D39" i="3"/>
  <c r="C39" i="3"/>
  <c r="E38" i="3"/>
  <c r="D38" i="3"/>
  <c r="C38" i="3"/>
  <c r="E37" i="3"/>
  <c r="D37" i="3"/>
  <c r="C37" i="3"/>
  <c r="E36" i="3"/>
  <c r="D36" i="3"/>
  <c r="C36" i="3"/>
  <c r="C31" i="3"/>
  <c r="D30" i="3"/>
  <c r="C30" i="3"/>
  <c r="D29" i="3"/>
  <c r="C29" i="3"/>
  <c r="C28" i="3"/>
  <c r="D27" i="3"/>
  <c r="C27" i="3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19" i="7" l="1"/>
  <c r="C20" i="7"/>
  <c r="D17" i="7"/>
  <c r="F17" i="7"/>
  <c r="E17" i="7"/>
  <c r="C16" i="7"/>
  <c r="E16" i="7"/>
  <c r="F16" i="7"/>
  <c r="D20" i="7" l="1"/>
  <c r="D19" i="7"/>
  <c r="E20" i="7"/>
  <c r="E19" i="7"/>
  <c r="F20" i="7"/>
  <c r="F19" i="7"/>
</calcChain>
</file>

<file path=xl/sharedStrings.xml><?xml version="1.0" encoding="utf-8"?>
<sst xmlns="http://schemas.openxmlformats.org/spreadsheetml/2006/main" count="810" uniqueCount="390">
  <si>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</si>
  <si>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</si>
  <si>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</si>
  <si>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</si>
  <si>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</si>
  <si>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</si>
  <si>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</si>
  <si>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</si>
  <si>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</si>
  <si>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</si>
  <si>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</si>
  <si>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</si>
  <si>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</si>
  <si>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</si>
  <si>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</si>
  <si>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</si>
  <si>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</si>
  <si>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</si>
  <si>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</si>
  <si>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</si>
  <si>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</si>
  <si>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</si>
  <si>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</si>
  <si>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</si>
  <si>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</si>
  <si>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</si>
  <si>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</si>
  <si>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</si>
  <si>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</si>
  <si>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</si>
  <si>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</si>
  <si>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</si>
  <si>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</si>
  <si>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</si>
  <si>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</si>
  <si>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</si>
  <si>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</si>
  <si>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</si>
  <si>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</si>
  <si>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</si>
  <si>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</si>
  <si>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</si>
  <si>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</si>
  <si>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</si>
  <si>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</si>
  <si>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Real PivotTable: state x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</si>
  <si>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</si>
  <si>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</si>
  <si>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</si>
  <si>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</si>
  <si>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</si>
  <si>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</si>
  <si>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</si>
  <si>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</si>
  <si>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</si>
  <si>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</si>
  <si>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</si>
  <si>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</si>
  <si>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</si>
  <si>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</si>
  <si>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</si>
  <si>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</si>
  <si>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</si>
  <si>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</si>
  <si>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</si>
  <si>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</si>
  <si>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</si>
  <si>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</si>
  <si>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</si>
  <si>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</si>
  <si>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</si>
  <si>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</si>
  <si>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</si>
  <si>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</si>
  <si>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</si>
  <si>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</si>
  <si>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</si>
  <si>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</si>
  <si>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</si>
  <si>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</si>
  <si>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</si>
  <si>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</si>
  <si>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</si>
  <si>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</si>
  <si>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</si>
  <si>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</si>
  <si>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</si>
  <si>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</si>
  <si>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</si>
  <si>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</si>
  <si>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</si>
  <si>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</si>
  <si>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</si>
  <si>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</si>
  <si>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</si>
  <si>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</si>
  <si>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</si>
  <si>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</si>
  <si>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</si>
  <si>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</si>
  <si>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</si>
  <si>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</si>
  <si>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</si>
  <si>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</si>
  <si>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</si>
  <si>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</si>
  <si>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</si>
  <si>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</si>
  <si>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</si>
  <si>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</si>
  <si>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</si>
  <si>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</si>
  <si>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</si>
  <si>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</si>
  <si>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</si>
  <si>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</si>
  <si>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</si>
  <si>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</si>
  <si>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</si>
  <si>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</si>
  <si>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</si>
  <si>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</si>
  <si>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</si>
  <si>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</si>
  <si>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</si>
  <si>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</si>
  <si>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</si>
  <si>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</si>
  <si>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</si>
  <si>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</si>
  <si>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</si>
  <si>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</si>
  <si>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</si>
  <si>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</si>
  <si>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</si>
  <si>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</si>
  <si>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</si>
  <si>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18955e83d337fd6b2def6b18a428ac77</t>
  </si>
  <si>
    <t>290c77bc529b7ac935b93aa66c333dc3</t>
  </si>
  <si>
    <t>sao bernardo do campo</t>
  </si>
  <si>
    <t>4e7b3e00288586ebd08712fdd0374a03</t>
  </si>
  <si>
    <t>060e732b5b29e8181a18229c7b0b2b5e</t>
  </si>
  <si>
    <t>sao paulo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</si>
  <si>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</si>
  <si>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</si>
  <si>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</si>
  <si>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</si>
  <si>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</si>
  <si>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</si>
  <si>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</si>
  <si>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</si>
  <si>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</si>
  <si>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</si>
  <si>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</si>
  <si>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00018f77f2f0320c557190d7a144bdd3</t>
  </si>
  <si>
    <t>e5f2d52b802189ee658865ca93d83a8f</t>
  </si>
  <si>
    <t>dd7ddc04e1b6c2c614352b383efe2d36</t>
  </si>
  <si>
    <t>2017-05-03 11:05:13</t>
  </si>
  <si>
    <t>000229ec398224ef6ca0657da4fc703e</t>
  </si>
  <si>
    <t>c777355d18b72b67abbeef9df44fd0fd</t>
  </si>
  <si>
    <t>5b51032eddd242adc84c38acab88f23d</t>
  </si>
  <si>
    <t>2018-01-18 14:48:30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</si>
  <si>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</si>
  <si>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</si>
  <si>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</si>
  <si>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</si>
  <si>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</si>
  <si>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</si>
  <si>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</si>
  <si>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a9810da82917af2d9aefd1278f1dcfa0</t>
  </si>
  <si>
    <t>25e8ea4e93396b6fa0d3dd708e76c1bd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</si>
  <si>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</si>
  <si>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</si>
  <si>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</si>
  <si>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</si>
  <si>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</si>
  <si>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</si>
  <si>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</si>
  <si>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7bc2406110b926393aa56f80a40eba40</t>
  </si>
  <si>
    <t>73fc7af87114b39712e6da79b0a377eb</t>
  </si>
  <si>
    <t>2018-01-18 00:00:00</t>
  </si>
  <si>
    <t>2018-01-18 21:46:59</t>
  </si>
  <si>
    <t>80e641a11e56f04c1ad469d5645fdfde</t>
  </si>
  <si>
    <t>a548910a1c6147796b98fdf73dbeba33</t>
  </si>
  <si>
    <t>2018-03-10 00:00:00</t>
  </si>
  <si>
    <t>2018-03-11 03:05:13</t>
  </si>
  <si>
    <t>228ce5500dc1d8e020d8d1322874b6f0</t>
  </si>
  <si>
    <t>f9e4b658b201a9f2ecdecbb34bed034b</t>
  </si>
  <si>
    <t>2018-02-17 00:00:00</t>
  </si>
  <si>
    <t>2018-02-18 14:36:24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</si>
  <si>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</si>
  <si>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</si>
  <si>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</si>
  <si>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</si>
  <si>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</si>
  <si>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</si>
  <si>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</si>
  <si>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</si>
  <si>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</si>
  <si>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</si>
  <si>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</si>
  <si>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</si>
  <si>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</si>
  <si>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</si>
  <si>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</si>
  <si>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</si>
  <si>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</si>
  <si>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</si>
  <si>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</si>
  <si>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</si>
  <si>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</si>
  <si>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</si>
  <si>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</si>
  <si>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</si>
  <si>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</si>
  <si>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</si>
  <si>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</si>
  <si>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</si>
  <si>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</si>
  <si>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boleto</t>
  </si>
  <si>
    <t>voucher</t>
  </si>
  <si>
    <t>debit_card</t>
  </si>
  <si>
    <t>Monthly Revenue Trend (2017–2018)</t>
  </si>
  <si>
    <t>Month</t>
  </si>
  <si>
    <t>Revenue (R$)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</si>
  <si>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</si>
  <si>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</si>
  <si>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</si>
  <si>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</si>
  <si>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</si>
  <si>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</si>
  <si>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</si>
  <si>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</si>
  <si>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</si>
  <si>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</si>
  <si>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</si>
  <si>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</si>
  <si>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</si>
  <si>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</si>
  <si>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</si>
  <si>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</si>
  <si>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</si>
  <si>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</si>
  <si>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</si>
  <si>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</si>
  <si>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</si>
  <si>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</si>
  <si>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</si>
  <si>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</si>
  <si>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</si>
  <si>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</si>
  <si>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</si>
  <si>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</si>
  <si>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</si>
  <si>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</si>
  <si>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</si>
  <si>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</si>
  <si>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</si>
  <si>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</si>
  <si>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</si>
  <si>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</si>
  <si>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</si>
  <si>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</si>
  <si>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</si>
  <si>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</si>
  <si>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</si>
  <si>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</si>
  <si>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</si>
  <si>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</si>
  <si>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</si>
  <si>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</si>
  <si>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</si>
  <si>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</si>
  <si>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</si>
  <si>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</si>
  <si>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</si>
  <si>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</si>
  <si>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</si>
  <si>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</si>
  <si>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</si>
  <si>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</si>
  <si>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</si>
  <si>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</si>
  <si>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</si>
  <si>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</si>
  <si>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</si>
  <si>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</si>
  <si>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</si>
  <si>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</si>
  <si>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</si>
  <si>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XLOOKUP from RFM segment</t>
  </si>
  <si>
    <t>Avg ARPU per customer (R$)</t>
  </si>
  <si>
    <t>0</t>
  </si>
  <si>
    <t>Repeat-spend rate (% of ARPU on win-back order)</t>
  </si>
  <si>
    <t>0%</t>
  </si>
  <si>
    <t>Modeling assumption (50% of historical avg)</t>
  </si>
  <si>
    <t>Total CRM cost (R$)</t>
  </si>
  <si>
    <t>Budget assumption (email + discount voucher)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</si>
  <si>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</si>
  <si>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</si>
  <si>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</si>
  <si>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</si>
  <si>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</si>
  <si>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</si>
  <si>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</si>
  <si>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</si>
  <si>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</si>
  <si>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</si>
  <si>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</si>
  <si>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</si>
  <si>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</si>
  <si>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</si>
  <si>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</si>
  <si>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</si>
  <si>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</si>
  <si>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</si>
  <si>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</si>
  <si>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</si>
  <si>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</si>
  <si>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</si>
  <si>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</si>
  <si>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</si>
  <si>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</si>
  <si>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</si>
  <si>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</si>
  <si>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</si>
  <si>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</si>
  <si>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</si>
  <si>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MG</t>
  </si>
  <si>
    <t>PR</t>
  </si>
  <si>
    <t>DF</t>
  </si>
  <si>
    <t>SC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</si>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</sst>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6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6" borderId="2" xfId="0" applyNumberFormat="1" applyFont="1" applyFill="1" applyBorder="1" applyAlignment="1">
      <alignment horizontal="center" vertical="center" wrapText="1"/>
    </xf>
    <xf numFmtId="9" fontId="18" fillId="6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6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C-459A-BAB9-7BAD1E077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0E-4077-977B-484B1C1D4CBC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0E-4077-977B-484B1C1D4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3E-419E-BED6-9FD7D611D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2-4A5F-ACE3-EA7CAA662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D8-4238-B4DC-BDD78382D29E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D8-4238-B4DC-BDD78382D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187072222223" createdVersion="8" refreshedVersion="8" minRefreshableVersion="3" recordCount="105" xr:uid="{D98EF256-ED15-4EB2-B822-7258ED2880D6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20528-97A1-4098-9057-F24D9D9E8725}" name="pt_state_payment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E68">
  <autoFilter ref="A63:E68" xr:uid="{00000000-0009-0000-0100-000013000000}"/>
  <tableColumns count="5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0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6" spans="2:5" ht="17" x14ac:dyDescent="0.4">
      <c r="B16" s="6" t="s">
        <v>15</v>
      </c>
    </row>
    <row r="17" spans="2:4" x14ac:dyDescent="0.3">
      <c r="B17" s="10" t="s">
        <v>16</v>
      </c>
      <c r="C17" s="10" t="s">
        <v>17</v>
      </c>
      <c r="D17" s="10" t="s">
        <v>18</v>
      </c>
    </row>
    <row r="18" spans="2:4" x14ac:dyDescent="0.3">
      <c r="B18" s="14" t="s">
        <v>19</v>
      </c>
      <c r="C18" s="15" t="s">
        <v>20</v>
      </c>
      <c r="D18" s="16" t="s">
        <v>21</v>
      </c>
    </row>
    <row r="19" spans="2:4" ht="29" x14ac:dyDescent="0.3">
      <c r="B19" s="14" t="s">
        <v>22</v>
      </c>
      <c r="C19" s="15" t="s">
        <v>23</v>
      </c>
      <c r="D19" s="16" t="s">
        <v>24</v>
      </c>
    </row>
    <row r="20" spans="2:4" x14ac:dyDescent="0.3">
      <c r="B20" s="14" t="s">
        <v>25</v>
      </c>
      <c r="C20" s="15" t="s">
        <v>26</v>
      </c>
      <c r="D20" s="16" t="s">
        <v>27</v>
      </c>
    </row>
    <row r="21" spans="2:4" ht="29" x14ac:dyDescent="0.3">
      <c r="B21" s="14" t="s">
        <v>28</v>
      </c>
      <c r="C21" s="15" t="s">
        <v>29</v>
      </c>
      <c r="D21" s="16" t="s">
        <v>30</v>
      </c>
    </row>
    <row r="22" spans="2:4" ht="29" x14ac:dyDescent="0.3">
      <c r="B22" s="14" t="s">
        <v>31</v>
      </c>
      <c r="C22" s="15" t="s">
        <v>32</v>
      </c>
      <c r="D22" s="16" t="s">
        <v>33</v>
      </c>
    </row>
    <row r="23" spans="2:4" x14ac:dyDescent="0.3">
      <c r="B23" s="14" t="s">
        <v>34</v>
      </c>
      <c r="C23" s="15" t="s">
        <v>35</v>
      </c>
      <c r="D23" s="16" t="s">
        <v>36</v>
      </c>
    </row>
    <row r="24" spans="2:4" ht="29" x14ac:dyDescent="0.3">
      <c r="B24" s="14" t="s">
        <v>37</v>
      </c>
      <c r="C24" s="15" t="s">
        <v>38</v>
      </c>
      <c r="D24" s="16" t="s">
        <v>39</v>
      </c>
    </row>
    <row r="25" spans="2:4" ht="29" x14ac:dyDescent="0.3">
      <c r="B25" s="14" t="s">
        <v>40</v>
      </c>
      <c r="C25" s="15" t="s">
        <v>41</v>
      </c>
      <c r="D25" s="16" t="s">
        <v>42</v>
      </c>
    </row>
    <row r="26" spans="2:4" ht="29" x14ac:dyDescent="0.3">
      <c r="B26" s="14" t="s">
        <v>43</v>
      </c>
      <c r="C26" s="15" t="s">
        <v>44</v>
      </c>
      <c r="D26" s="16" t="s">
        <v>45</v>
      </c>
    </row>
    <row r="29" spans="2:4" ht="17" x14ac:dyDescent="0.4">
      <c r="B29" s="6" t="s">
        <v>46</v>
      </c>
    </row>
    <row r="30" spans="2:4" x14ac:dyDescent="0.3">
      <c r="B30" s="10" t="s">
        <v>47</v>
      </c>
      <c r="C30" s="10" t="s">
        <v>48</v>
      </c>
      <c r="D30" s="10" t="s">
        <v>49</v>
      </c>
    </row>
    <row r="31" spans="2:4" ht="29" x14ac:dyDescent="0.35">
      <c r="B31" s="17" t="s">
        <v>50</v>
      </c>
      <c r="C31" s="18" t="s">
        <v>51</v>
      </c>
      <c r="D31" s="16" t="s">
        <v>52</v>
      </c>
    </row>
    <row r="32" spans="2:4" ht="29" x14ac:dyDescent="0.35">
      <c r="B32" s="17" t="s">
        <v>53</v>
      </c>
      <c r="C32" s="18" t="s">
        <v>54</v>
      </c>
      <c r="D32" s="16" t="s">
        <v>55</v>
      </c>
    </row>
    <row r="33" spans="2:5" ht="58" x14ac:dyDescent="0.35">
      <c r="B33" s="17" t="s">
        <v>56</v>
      </c>
      <c r="C33" s="18" t="s">
        <v>57</v>
      </c>
      <c r="D33" s="16" t="s">
        <v>58</v>
      </c>
    </row>
    <row r="34" spans="2:5" ht="29" x14ac:dyDescent="0.35">
      <c r="B34" s="17" t="s">
        <v>59</v>
      </c>
      <c r="C34" s="18" t="s">
        <v>60</v>
      </c>
      <c r="D34" s="16" t="s">
        <v>61</v>
      </c>
    </row>
    <row r="35" spans="2:5" ht="58" x14ac:dyDescent="0.35">
      <c r="B35" s="17" t="s">
        <v>62</v>
      </c>
      <c r="C35" s="18" t="s">
        <v>63</v>
      </c>
      <c r="D35" s="16" t="s">
        <v>64</v>
      </c>
    </row>
    <row r="38" spans="2:5" ht="17" x14ac:dyDescent="0.4">
      <c r="B38" s="6" t="s">
        <v>65</v>
      </c>
    </row>
    <row r="39" spans="2:5" x14ac:dyDescent="0.3">
      <c r="B39" s="19" t="s">
        <v>66</v>
      </c>
      <c r="C39" s="19" t="s">
        <v>67</v>
      </c>
      <c r="D39" s="19" t="s">
        <v>68</v>
      </c>
      <c r="E39" s="19" t="s">
        <v>69</v>
      </c>
    </row>
    <row r="40" spans="2:5" x14ac:dyDescent="0.3">
      <c r="B40" s="19" t="s">
        <v>70</v>
      </c>
      <c r="C40" s="19" t="s">
        <v>71</v>
      </c>
      <c r="D40" s="19" t="s">
        <v>72</v>
      </c>
    </row>
  </sheetData>
  <phoneticPr fontId="21" type="noConversion"/>
  <hyperlinks>
    <hyperlink ref="C18" location="'02_Data_Dictionary'!A1" display="02_Data_Dictionary" xr:uid="{00000000-0004-0000-0000-000000000000}"/>
    <hyperlink ref="C19" location="'03_KPI_Dashboard'!A1" display="03_KPI_Dashboard" xr:uid="{00000000-0004-0000-0000-000001000000}"/>
    <hyperlink ref="C20" location="'04_Revenue_Trend'!A1" display="04_Revenue_Trend" xr:uid="{00000000-0004-0000-0000-000002000000}"/>
    <hyperlink ref="C21" location="'05_RFM_Segments'!A1" display="05_RFM_Segments" xr:uid="{00000000-0004-0000-0000-000003000000}"/>
    <hyperlink ref="C22" location="'06_Cohort_Heatmap'!A1" display="06_Cohort_Heatmap" xr:uid="{00000000-0004-0000-0000-000004000000}"/>
    <hyperlink ref="C23" location="'07_ROI_Calculator'!A1" display="07_ROI_Calculator" xr:uid="{00000000-0004-0000-0000-000005000000}"/>
    <hyperlink ref="C24" location="'08_Installments'!A1" display="08_Installments" xr:uid="{00000000-0004-0000-0000-000006000000}"/>
    <hyperlink ref="C25" location="'09_Logistics'!A1" display="09_Logistics" xr:uid="{00000000-0004-0000-0000-000007000000}"/>
    <hyperlink ref="C26" location="'10_Pivot_Analysis'!A1" display="10_Pivot_Analysis" xr:uid="{00000000-0004-0000-0000-000008000000}"/>
    <hyperlink ref="C31" r:id="rId1" xr:uid="{00000000-0004-0000-0000-000009000000}"/>
    <hyperlink ref="C32" r:id="rId2" xr:uid="{00000000-0004-0000-0000-00000A000000}"/>
    <hyperlink ref="C33" r:id="rId3" xr:uid="{00000000-0004-0000-0000-00000B000000}"/>
    <hyperlink ref="C34" r:id="rId4" xr:uid="{00000000-0004-0000-0000-00000C000000}"/>
    <hyperlink ref="C35" r:id="rId5" xr:uid="{00000000-0004-0000-0000-00000D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0" t="s">
        <v>73</v>
      </c>
      <c r="C2" s="2"/>
      <c r="D2" s="2"/>
      <c r="E2" s="2"/>
    </row>
    <row r="3" spans="2:5" x14ac:dyDescent="0.3">
      <c r="B3" s="21" t="s">
        <v>74</v>
      </c>
      <c r="C3" s="2"/>
      <c r="D3" s="2"/>
      <c r="E3" s="2"/>
    </row>
    <row r="5" spans="2:5" ht="17" x14ac:dyDescent="0.4">
      <c r="B5" s="6" t="s">
        <v>75</v>
      </c>
    </row>
    <row r="6" spans="2:5" x14ac:dyDescent="0.3">
      <c r="B6" s="10" t="s">
        <v>76</v>
      </c>
      <c r="C6" s="10" t="s">
        <v>77</v>
      </c>
      <c r="D6" s="10" t="s">
        <v>78</v>
      </c>
    </row>
    <row r="7" spans="2:5" ht="29" x14ac:dyDescent="0.3">
      <c r="B7" s="22" t="s">
        <v>79</v>
      </c>
      <c r="C7" s="23">
        <v>99441</v>
      </c>
      <c r="D7" s="16" t="s">
        <v>80</v>
      </c>
    </row>
    <row r="8" spans="2:5" ht="29" x14ac:dyDescent="0.3">
      <c r="B8" s="22" t="s">
        <v>81</v>
      </c>
      <c r="C8" s="23">
        <v>99441</v>
      </c>
      <c r="D8" s="16" t="s">
        <v>82</v>
      </c>
    </row>
    <row r="9" spans="2:5" ht="29" x14ac:dyDescent="0.3">
      <c r="B9" s="22" t="s">
        <v>83</v>
      </c>
      <c r="C9" s="23">
        <v>112650</v>
      </c>
      <c r="D9" s="16" t="s">
        <v>84</v>
      </c>
    </row>
    <row r="10" spans="2:5" ht="29" x14ac:dyDescent="0.3">
      <c r="B10" s="22" t="s">
        <v>85</v>
      </c>
      <c r="C10" s="23">
        <v>103886</v>
      </c>
      <c r="D10" s="16" t="s">
        <v>86</v>
      </c>
    </row>
    <row r="11" spans="2:5" x14ac:dyDescent="0.3">
      <c r="B11" s="22" t="s">
        <v>87</v>
      </c>
      <c r="C11" s="23">
        <v>104719</v>
      </c>
      <c r="D11" s="16" t="s">
        <v>88</v>
      </c>
    </row>
    <row r="12" spans="2:5" x14ac:dyDescent="0.3">
      <c r="B12" s="22" t="s">
        <v>89</v>
      </c>
      <c r="C12" s="23">
        <v>32951</v>
      </c>
      <c r="D12" s="16" t="s">
        <v>90</v>
      </c>
    </row>
    <row r="13" spans="2:5" x14ac:dyDescent="0.3">
      <c r="B13" s="22" t="s">
        <v>91</v>
      </c>
      <c r="C13" s="23">
        <v>3095</v>
      </c>
      <c r="D13" s="16" t="s">
        <v>92</v>
      </c>
    </row>
    <row r="14" spans="2:5" x14ac:dyDescent="0.3">
      <c r="B14" s="22" t="s">
        <v>93</v>
      </c>
      <c r="C14" s="23">
        <v>1000163</v>
      </c>
      <c r="D14" s="16" t="s">
        <v>94</v>
      </c>
    </row>
    <row r="15" spans="2:5" x14ac:dyDescent="0.3">
      <c r="B15" s="22" t="s">
        <v>95</v>
      </c>
      <c r="C15" s="23">
        <v>71</v>
      </c>
      <c r="D15" s="16" t="s">
        <v>96</v>
      </c>
    </row>
    <row r="18" spans="2:9" ht="17" x14ac:dyDescent="0.4">
      <c r="B18" s="6" t="s">
        <v>97</v>
      </c>
    </row>
    <row r="19" spans="2:9" ht="43.5" x14ac:dyDescent="0.3">
      <c r="B19" s="10" t="s">
        <v>98</v>
      </c>
      <c r="C19" s="10" t="s">
        <v>99</v>
      </c>
      <c r="D19" s="10" t="s">
        <v>100</v>
      </c>
      <c r="E19" s="10" t="s">
        <v>101</v>
      </c>
      <c r="F19" s="10" t="s">
        <v>102</v>
      </c>
      <c r="G19" s="10" t="s">
        <v>103</v>
      </c>
      <c r="H19" s="10" t="s">
        <v>104</v>
      </c>
      <c r="I19" s="10" t="s">
        <v>105</v>
      </c>
    </row>
    <row r="20" spans="2:9" ht="36" x14ac:dyDescent="0.3">
      <c r="B20" s="24" t="s">
        <v>106</v>
      </c>
      <c r="C20" s="24" t="s">
        <v>107</v>
      </c>
      <c r="D20" s="24" t="s">
        <v>108</v>
      </c>
      <c r="E20" s="24" t="s">
        <v>109</v>
      </c>
      <c r="F20" s="24" t="s">
        <v>110</v>
      </c>
      <c r="G20" s="24" t="s">
        <v>111</v>
      </c>
      <c r="H20" s="24" t="s">
        <v>112</v>
      </c>
      <c r="I20" s="24" t="s">
        <v>113</v>
      </c>
    </row>
    <row r="21" spans="2:9" ht="36" x14ac:dyDescent="0.3">
      <c r="B21" s="24" t="s">
        <v>114</v>
      </c>
      <c r="C21" s="24" t="s">
        <v>115</v>
      </c>
      <c r="D21" s="24" t="s">
        <v>108</v>
      </c>
      <c r="E21" s="24" t="s">
        <v>116</v>
      </c>
      <c r="F21" s="24" t="s">
        <v>117</v>
      </c>
      <c r="G21" s="24" t="s">
        <v>118</v>
      </c>
      <c r="H21" s="24" t="s">
        <v>119</v>
      </c>
      <c r="I21" s="24" t="s">
        <v>120</v>
      </c>
    </row>
    <row r="22" spans="2:9" ht="36" x14ac:dyDescent="0.3">
      <c r="B22" s="24" t="s">
        <v>121</v>
      </c>
      <c r="C22" s="24" t="s">
        <v>122</v>
      </c>
      <c r="D22" s="24" t="s">
        <v>108</v>
      </c>
      <c r="E22" s="24" t="s">
        <v>123</v>
      </c>
      <c r="F22" s="24" t="s">
        <v>124</v>
      </c>
      <c r="G22" s="24" t="s">
        <v>125</v>
      </c>
      <c r="H22" s="24" t="s">
        <v>126</v>
      </c>
      <c r="I22" s="24" t="s">
        <v>127</v>
      </c>
    </row>
    <row r="24" spans="2:9" ht="17" x14ac:dyDescent="0.4">
      <c r="B24" s="6" t="s">
        <v>128</v>
      </c>
    </row>
    <row r="25" spans="2:9" ht="29" x14ac:dyDescent="0.3">
      <c r="B25" s="10" t="s">
        <v>99</v>
      </c>
      <c r="C25" s="10" t="s">
        <v>129</v>
      </c>
      <c r="D25" s="10" t="s">
        <v>130</v>
      </c>
      <c r="E25" s="10" t="s">
        <v>131</v>
      </c>
      <c r="F25" s="10" t="s">
        <v>132</v>
      </c>
    </row>
    <row r="26" spans="2:9" ht="36" x14ac:dyDescent="0.3">
      <c r="B26" s="24" t="s">
        <v>133</v>
      </c>
      <c r="C26" s="24" t="s">
        <v>134</v>
      </c>
      <c r="D26" s="24">
        <v>14409</v>
      </c>
      <c r="E26" s="24" t="s">
        <v>135</v>
      </c>
      <c r="F26" s="24" t="s">
        <v>136</v>
      </c>
    </row>
    <row r="27" spans="2:9" ht="36" x14ac:dyDescent="0.3">
      <c r="B27" s="24" t="s">
        <v>137</v>
      </c>
      <c r="C27" s="24" t="s">
        <v>138</v>
      </c>
      <c r="D27" s="24">
        <v>9790</v>
      </c>
      <c r="E27" s="24" t="s">
        <v>139</v>
      </c>
      <c r="F27" s="24" t="s">
        <v>136</v>
      </c>
    </row>
    <row r="28" spans="2:9" ht="36" x14ac:dyDescent="0.3">
      <c r="B28" s="24" t="s">
        <v>140</v>
      </c>
      <c r="C28" s="24" t="s">
        <v>141</v>
      </c>
      <c r="D28" s="24">
        <v>1151</v>
      </c>
      <c r="E28" s="24" t="s">
        <v>142</v>
      </c>
      <c r="F28" s="24" t="s">
        <v>136</v>
      </c>
    </row>
    <row r="30" spans="2:9" ht="17" x14ac:dyDescent="0.4">
      <c r="B30" s="6" t="s">
        <v>143</v>
      </c>
    </row>
    <row r="31" spans="2:9" ht="29" x14ac:dyDescent="0.3">
      <c r="B31" s="10" t="s">
        <v>98</v>
      </c>
      <c r="C31" s="10" t="s">
        <v>144</v>
      </c>
      <c r="D31" s="10" t="s">
        <v>145</v>
      </c>
      <c r="E31" s="10" t="s">
        <v>146</v>
      </c>
      <c r="F31" s="10" t="s">
        <v>147</v>
      </c>
      <c r="G31" s="10" t="s">
        <v>148</v>
      </c>
      <c r="H31" s="10" t="s">
        <v>149</v>
      </c>
    </row>
    <row r="32" spans="2:9" ht="36" x14ac:dyDescent="0.3">
      <c r="B32" s="24" t="s">
        <v>150</v>
      </c>
      <c r="C32" s="24">
        <v>1</v>
      </c>
      <c r="D32" s="24" t="s">
        <v>151</v>
      </c>
      <c r="E32" s="24" t="s">
        <v>152</v>
      </c>
      <c r="F32" s="24" t="s">
        <v>153</v>
      </c>
      <c r="G32" s="24">
        <v>58.9</v>
      </c>
      <c r="H32" s="24">
        <v>13.29</v>
      </c>
    </row>
    <row r="33" spans="2:8" ht="36" x14ac:dyDescent="0.3">
      <c r="B33" s="24" t="s">
        <v>154</v>
      </c>
      <c r="C33" s="24">
        <v>1</v>
      </c>
      <c r="D33" s="24" t="s">
        <v>155</v>
      </c>
      <c r="E33" s="24" t="s">
        <v>156</v>
      </c>
      <c r="F33" s="24" t="s">
        <v>157</v>
      </c>
      <c r="G33" s="24">
        <v>239.9</v>
      </c>
      <c r="H33" s="24">
        <v>19.93</v>
      </c>
    </row>
    <row r="34" spans="2:8" ht="36" x14ac:dyDescent="0.3">
      <c r="B34" s="24" t="s">
        <v>158</v>
      </c>
      <c r="C34" s="24">
        <v>1</v>
      </c>
      <c r="D34" s="24" t="s">
        <v>159</v>
      </c>
      <c r="E34" s="24" t="s">
        <v>160</v>
      </c>
      <c r="F34" s="24" t="s">
        <v>161</v>
      </c>
      <c r="G34" s="24">
        <v>199</v>
      </c>
      <c r="H34" s="24">
        <v>17.87</v>
      </c>
    </row>
    <row r="36" spans="2:8" ht="17" x14ac:dyDescent="0.4">
      <c r="B36" s="6" t="s">
        <v>162</v>
      </c>
    </row>
    <row r="37" spans="2:8" ht="29" x14ac:dyDescent="0.3">
      <c r="B37" s="10" t="s">
        <v>98</v>
      </c>
      <c r="C37" s="10" t="s">
        <v>163</v>
      </c>
      <c r="D37" s="10" t="s">
        <v>164</v>
      </c>
      <c r="E37" s="10" t="s">
        <v>165</v>
      </c>
      <c r="F37" s="10" t="s">
        <v>166</v>
      </c>
    </row>
    <row r="38" spans="2:8" ht="24" x14ac:dyDescent="0.3">
      <c r="B38" s="24" t="s">
        <v>167</v>
      </c>
      <c r="C38" s="24">
        <v>1</v>
      </c>
      <c r="D38" s="24" t="s">
        <v>168</v>
      </c>
      <c r="E38" s="24">
        <v>8</v>
      </c>
      <c r="F38" s="24">
        <v>99.33</v>
      </c>
    </row>
    <row r="39" spans="2:8" ht="24" x14ac:dyDescent="0.3">
      <c r="B39" s="24" t="s">
        <v>169</v>
      </c>
      <c r="C39" s="24">
        <v>1</v>
      </c>
      <c r="D39" s="24" t="s">
        <v>168</v>
      </c>
      <c r="E39" s="24">
        <v>1</v>
      </c>
      <c r="F39" s="24">
        <v>24.39</v>
      </c>
    </row>
    <row r="40" spans="2:8" ht="24" x14ac:dyDescent="0.3">
      <c r="B40" s="24" t="s">
        <v>170</v>
      </c>
      <c r="C40" s="24">
        <v>1</v>
      </c>
      <c r="D40" s="24" t="s">
        <v>168</v>
      </c>
      <c r="E40" s="24">
        <v>1</v>
      </c>
      <c r="F40" s="24">
        <v>65.709999999999994</v>
      </c>
    </row>
    <row r="42" spans="2:8" ht="17" x14ac:dyDescent="0.4">
      <c r="B42" s="6" t="s">
        <v>171</v>
      </c>
    </row>
    <row r="43" spans="2:8" ht="29" x14ac:dyDescent="0.3">
      <c r="B43" s="10" t="s">
        <v>172</v>
      </c>
      <c r="C43" s="10" t="s">
        <v>98</v>
      </c>
      <c r="D43" s="10" t="s">
        <v>173</v>
      </c>
      <c r="E43" s="10" t="s">
        <v>174</v>
      </c>
      <c r="F43" s="10" t="s">
        <v>175</v>
      </c>
      <c r="G43" s="10" t="s">
        <v>176</v>
      </c>
      <c r="H43" s="10" t="s">
        <v>177</v>
      </c>
    </row>
    <row r="44" spans="2:8" ht="36" x14ac:dyDescent="0.3">
      <c r="B44" s="24" t="s">
        <v>178</v>
      </c>
      <c r="C44" s="24" t="s">
        <v>179</v>
      </c>
      <c r="D44" s="24">
        <v>4</v>
      </c>
      <c r="E44" s="24"/>
      <c r="F44" s="24"/>
      <c r="G44" s="24" t="s">
        <v>180</v>
      </c>
      <c r="H44" s="24" t="s">
        <v>181</v>
      </c>
    </row>
    <row r="45" spans="2:8" ht="36" x14ac:dyDescent="0.3">
      <c r="B45" s="24" t="s">
        <v>182</v>
      </c>
      <c r="C45" s="24" t="s">
        <v>183</v>
      </c>
      <c r="D45" s="24">
        <v>5</v>
      </c>
      <c r="E45" s="24"/>
      <c r="F45" s="24"/>
      <c r="G45" s="24" t="s">
        <v>184</v>
      </c>
      <c r="H45" s="24" t="s">
        <v>185</v>
      </c>
    </row>
    <row r="46" spans="2:8" ht="36" x14ac:dyDescent="0.3">
      <c r="B46" s="24" t="s">
        <v>186</v>
      </c>
      <c r="C46" s="24" t="s">
        <v>187</v>
      </c>
      <c r="D46" s="24">
        <v>5</v>
      </c>
      <c r="E46" s="24"/>
      <c r="F46" s="24"/>
      <c r="G46" s="24" t="s">
        <v>188</v>
      </c>
      <c r="H46" s="24" t="s">
        <v>189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0" t="s">
        <v>190</v>
      </c>
      <c r="C2" s="2"/>
      <c r="D2" s="2"/>
      <c r="E2" s="2"/>
      <c r="F2" s="2"/>
    </row>
    <row r="5" spans="2:6" ht="17" x14ac:dyDescent="0.4">
      <c r="B5" s="6" t="s">
        <v>191</v>
      </c>
    </row>
    <row r="6" spans="2:6" x14ac:dyDescent="0.3">
      <c r="B6" s="10" t="s">
        <v>192</v>
      </c>
      <c r="C6" s="10" t="s">
        <v>193</v>
      </c>
    </row>
    <row r="7" spans="2:6" x14ac:dyDescent="0.3">
      <c r="B7" s="25" t="s">
        <v>194</v>
      </c>
      <c r="C7" s="26">
        <f>_xlfn.XLOOKUP("Total orders",_data_calc!$A$3:$A$18,_data_calc!$B$3:$B$18)</f>
        <v>99441</v>
      </c>
    </row>
    <row r="8" spans="2:6" x14ac:dyDescent="0.3">
      <c r="B8" s="25" t="s">
        <v>195</v>
      </c>
      <c r="C8" s="26">
        <f>_xlfn.XLOOKUP("Unique customers",_data_calc!$A$3:$A$18,_data_calc!$B$3:$B$18)</f>
        <v>96096</v>
      </c>
    </row>
    <row r="9" spans="2:6" x14ac:dyDescent="0.3">
      <c r="B9" s="25" t="s">
        <v>196</v>
      </c>
      <c r="C9" s="26">
        <f>_xlfn.XLOOKUP("Sellers",_data_calc!$A$3:$A$18,_data_calc!$B$3:$B$18)</f>
        <v>3095</v>
      </c>
    </row>
    <row r="10" spans="2:6" x14ac:dyDescent="0.3">
      <c r="B10" s="25" t="s">
        <v>197</v>
      </c>
      <c r="C10" s="26">
        <f>_xlfn.XLOOKUP("Products",_data_calc!$A$3:$A$18,_data_calc!$B$3:$B$18)</f>
        <v>32951</v>
      </c>
    </row>
    <row r="11" spans="2:6" x14ac:dyDescent="0.3">
      <c r="B11" s="25" t="s">
        <v>198</v>
      </c>
      <c r="C11" s="26">
        <f>_xlfn.XLOOKUP("Product categories",_data_calc!$A$3:$A$18,_data_calc!$B$3:$B$18)</f>
        <v>71</v>
      </c>
    </row>
    <row r="12" spans="2:6" x14ac:dyDescent="0.3">
      <c r="B12" s="25" t="s">
        <v>199</v>
      </c>
      <c r="C12" s="27">
        <f>_xlfn.XLOOKUP("States covered",_data_calc!$A$3:$A$18,_data_calc!$B$3:$B$18)</f>
        <v>27</v>
      </c>
    </row>
    <row r="13" spans="2:6" x14ac:dyDescent="0.3">
      <c r="B13" s="25" t="s">
        <v>200</v>
      </c>
      <c r="C13" s="26">
        <f>_xlfn.XLOOKUP("Cities covered",_data_calc!$A$3:$A$18,_data_calc!$B$3:$B$18)</f>
        <v>4119</v>
      </c>
    </row>
    <row r="14" spans="2:6" x14ac:dyDescent="0.3">
      <c r="B14" s="25" t="s">
        <v>201</v>
      </c>
      <c r="C14" s="26">
        <f>_xlfn.XLOOKUP("Total GMV (R$)",_data_calc!$A$3:$A$18,_data_calc!$B$3:$B$18)</f>
        <v>13591644</v>
      </c>
    </row>
    <row r="15" spans="2:6" x14ac:dyDescent="0.3">
      <c r="B15" s="25" t="s">
        <v>202</v>
      </c>
      <c r="C15" s="28">
        <f>_xlfn.XLOOKUP("AOV (R$)",_data_calc!$A$3:$A$18,_data_calc!$B$3:$B$18)</f>
        <v>137.41</v>
      </c>
    </row>
    <row r="18" spans="2:6" ht="17" x14ac:dyDescent="0.4">
      <c r="B18" s="6" t="s">
        <v>203</v>
      </c>
    </row>
    <row r="19" spans="2:6" x14ac:dyDescent="0.3">
      <c r="B19" s="10" t="s">
        <v>204</v>
      </c>
      <c r="C19" s="10" t="s">
        <v>205</v>
      </c>
      <c r="D19" s="10" t="s">
        <v>206</v>
      </c>
      <c r="E19" s="10" t="s">
        <v>207</v>
      </c>
      <c r="F19" s="10" t="s">
        <v>208</v>
      </c>
    </row>
    <row r="20" spans="2:6" x14ac:dyDescent="0.3">
      <c r="B20" s="16">
        <v>2016</v>
      </c>
      <c r="C20" s="29">
        <f>_xlfn.XLOOKUP(B20,_data_calc!$A$23:$A$25,_data_calc!$B$23:$B$25,0)</f>
        <v>0.04</v>
      </c>
      <c r="D20" s="30">
        <f>_xlfn.XLOOKUP(B20,_data_calc!$A$23:$A$25,_data_calc!$C$23:$C$25,0)</f>
        <v>264</v>
      </c>
      <c r="E20" s="29">
        <f>_xlfn.XLOOKUP(B20,_data_calc!$A$23:$A$25,_data_calc!$D$23:$D$25,0)</f>
        <v>3.9</v>
      </c>
      <c r="F20" s="29">
        <f>_xlfn.XLOOKUP(B20,_data_calc!$A$23:$A$25,_data_calc!$E$23:$E$25,0)</f>
        <v>19.600000000000001</v>
      </c>
    </row>
    <row r="21" spans="2:6" x14ac:dyDescent="0.3">
      <c r="B21" s="16">
        <v>2017</v>
      </c>
      <c r="C21" s="29">
        <f>_xlfn.XLOOKUP(B21,_data_calc!$A$23:$A$25,_data_calc!$B$23:$B$25,0)</f>
        <v>5.94</v>
      </c>
      <c r="D21" s="30">
        <f>_xlfn.XLOOKUP(B21,_data_calc!$A$23:$A$25,_data_calc!$C$23:$C$25,0)</f>
        <v>43098</v>
      </c>
      <c r="E21" s="29">
        <f>_xlfn.XLOOKUP(B21,_data_calc!$A$23:$A$25,_data_calc!$D$23:$D$25,0)</f>
        <v>4.0999999999999996</v>
      </c>
      <c r="F21" s="29">
        <f>_xlfn.XLOOKUP(B21,_data_calc!$A$23:$A$25,_data_calc!$E$23:$E$25,0)</f>
        <v>12.9</v>
      </c>
    </row>
    <row r="22" spans="2:6" x14ac:dyDescent="0.3">
      <c r="B22" s="16">
        <v>2018</v>
      </c>
      <c r="C22" s="29">
        <f>_xlfn.XLOOKUP(B22,_data_calc!$A$23:$A$25,_data_calc!$B$23:$B$25,0)</f>
        <v>7.19</v>
      </c>
      <c r="D22" s="30">
        <f>_xlfn.XLOOKUP(B22,_data_calc!$A$23:$A$25,_data_calc!$C$23:$C$25,0)</f>
        <v>52462</v>
      </c>
      <c r="E22" s="29">
        <f>_xlfn.XLOOKUP(B22,_data_calc!$A$23:$A$25,_data_calc!$D$23:$D$25,0)</f>
        <v>4.0999999999999996</v>
      </c>
      <c r="F22" s="29">
        <f>_xlfn.XLOOKUP(B22,_data_calc!$A$23:$A$25,_data_calc!$E$23:$E$25,0)</f>
        <v>12</v>
      </c>
    </row>
    <row r="25" spans="2:6" ht="17" x14ac:dyDescent="0.4">
      <c r="B25" s="6" t="s">
        <v>209</v>
      </c>
    </row>
    <row r="26" spans="2:6" x14ac:dyDescent="0.3">
      <c r="B26" s="10" t="s">
        <v>210</v>
      </c>
      <c r="C26" s="10" t="s">
        <v>206</v>
      </c>
      <c r="D26" s="10" t="s">
        <v>211</v>
      </c>
    </row>
    <row r="27" spans="2:6" x14ac:dyDescent="0.3">
      <c r="B27" s="31" t="s">
        <v>108</v>
      </c>
      <c r="C27" s="23">
        <f>_xlfn.XLOOKUP("delivered",_data_calc!$A$116:$A$120,_data_calc!$B$116:$B$120,0)</f>
        <v>96478</v>
      </c>
      <c r="D27" s="32">
        <f>_xlfn.XLOOKUP("delivered",_data_calc!$A$116:$A$120,_data_calc!$C$116:$C$120,0)</f>
        <v>0.97020343721402635</v>
      </c>
    </row>
    <row r="28" spans="2:6" x14ac:dyDescent="0.3">
      <c r="B28" s="31" t="s">
        <v>212</v>
      </c>
      <c r="C28" s="23">
        <f>_xlfn.XLOOKUP("shipped",_data_calc!$A$116:$A$120,_data_calc!$B$116:$B$120,0)</f>
        <v>1107</v>
      </c>
      <c r="D28" s="32">
        <f>_xlfn.XLOOKUP("shipped",_data_calc!$A$116:$A$120,_data_calc!$C$116:$C$120,0)</f>
        <v>1.1132229161010046E-2</v>
      </c>
    </row>
    <row r="29" spans="2:6" x14ac:dyDescent="0.3">
      <c r="B29" s="31" t="s">
        <v>213</v>
      </c>
      <c r="C29" s="23">
        <f>_xlfn.XLOOKUP("canceled",_data_calc!$A$116:$A$120,_data_calc!$B$116:$B$120,0)</f>
        <v>625</v>
      </c>
      <c r="D29" s="32">
        <f>_xlfn.XLOOKUP("canceled",_data_calc!$A$116:$A$120,_data_calc!$C$116:$C$120,0)</f>
        <v>6.2851338984925738E-3</v>
      </c>
    </row>
    <row r="30" spans="2:6" x14ac:dyDescent="0.3">
      <c r="B30" s="31" t="s">
        <v>214</v>
      </c>
      <c r="C30" s="23">
        <f>_xlfn.XLOOKUP("unavailable",_data_calc!$A$116:$A$120,_data_calc!$B$116:$B$120,0)</f>
        <v>609</v>
      </c>
      <c r="D30" s="32">
        <f>_xlfn.XLOOKUP("unavailable",_data_calc!$A$116:$A$120,_data_calc!$C$116:$C$120,0)</f>
        <v>6.1242344706911632E-3</v>
      </c>
    </row>
    <row r="31" spans="2:6" x14ac:dyDescent="0.3">
      <c r="B31" s="31" t="s">
        <v>215</v>
      </c>
      <c r="C31" s="23">
        <f>_xlfn.XLOOKUP("other",_data_calc!$A$116:$A$120,_data_calc!$B$116:$B$120,0)</f>
        <v>622</v>
      </c>
      <c r="D31" s="32">
        <f>_xlfn.XLOOKUP("other",_data_calc!$A$116:$A$120,_data_calc!$C$116:$C$120,0)</f>
        <v>6.2549652557798091E-3</v>
      </c>
    </row>
    <row r="34" spans="2:5" ht="17" x14ac:dyDescent="0.4">
      <c r="B34" s="6" t="s">
        <v>216</v>
      </c>
    </row>
    <row r="35" spans="2:5" x14ac:dyDescent="0.3">
      <c r="B35" s="10" t="s">
        <v>217</v>
      </c>
      <c r="C35" s="10" t="s">
        <v>206</v>
      </c>
      <c r="D35" s="10" t="s">
        <v>211</v>
      </c>
      <c r="E35" s="10" t="s">
        <v>218</v>
      </c>
    </row>
    <row r="36" spans="2:5" x14ac:dyDescent="0.3">
      <c r="B36" s="31" t="s">
        <v>168</v>
      </c>
      <c r="C36" s="23">
        <f>_xlfn.XLOOKUP("credit_card",_data_calc!$A$125:$A$128,_data_calc!$B$125:$B$128,0)</f>
        <v>76505</v>
      </c>
      <c r="D36" s="32">
        <f>_xlfn.XLOOKUP("credit_card",_data_calc!$A$125:$A$128,_data_calc!$C$125:$C$128,0)</f>
        <v>0.75238732138115516</v>
      </c>
      <c r="E36" s="33">
        <f>_xlfn.XLOOKUP("credit_card",_data_calc!$A$125:$A$128,_data_calc!$D$125:$D$128,0)</f>
        <v>3.51</v>
      </c>
    </row>
    <row r="37" spans="2:5" x14ac:dyDescent="0.3">
      <c r="B37" s="31" t="s">
        <v>219</v>
      </c>
      <c r="C37" s="23">
        <f>_xlfn.XLOOKUP("boleto",_data_calc!$A$125:$A$128,_data_calc!$B$125:$B$128,0)</f>
        <v>19784</v>
      </c>
      <c r="D37" s="32">
        <f>_xlfn.XLOOKUP("boleto",_data_calc!$A$125:$A$128,_data_calc!$C$125:$C$128,0)</f>
        <v>0.19456546325344454</v>
      </c>
      <c r="E37" s="33">
        <f>_xlfn.XLOOKUP("boleto",_data_calc!$A$125:$A$128,_data_calc!$D$125:$D$128,0)</f>
        <v>1</v>
      </c>
    </row>
    <row r="38" spans="2:5" x14ac:dyDescent="0.3">
      <c r="B38" s="31" t="s">
        <v>220</v>
      </c>
      <c r="C38" s="23">
        <f>_xlfn.XLOOKUP("voucher",_data_calc!$A$125:$A$128,_data_calc!$B$125:$B$128,0)</f>
        <v>3866</v>
      </c>
      <c r="D38" s="32">
        <f>_xlfn.XLOOKUP("voucher",_data_calc!$A$125:$A$128,_data_calc!$C$125:$C$128,0)</f>
        <v>3.8020121357552394E-2</v>
      </c>
      <c r="E38" s="33">
        <f>_xlfn.XLOOKUP("voucher",_data_calc!$A$125:$A$128,_data_calc!$D$125:$D$128,0)</f>
        <v>1</v>
      </c>
    </row>
    <row r="39" spans="2:5" x14ac:dyDescent="0.3">
      <c r="B39" s="31" t="s">
        <v>221</v>
      </c>
      <c r="C39" s="23">
        <f>_xlfn.XLOOKUP("debit_card",_data_calc!$A$125:$A$128,_data_calc!$B$125:$B$128,0)</f>
        <v>1528</v>
      </c>
      <c r="D39" s="32">
        <f>_xlfn.XLOOKUP("debit_card",_data_calc!$A$125:$A$128,_data_calc!$C$125:$C$128,0)</f>
        <v>1.502709400784792E-2</v>
      </c>
      <c r="E39" s="33">
        <f>_xlfn.XLOOKUP("debit_card",_data_calc!$A$125:$A$128,_data_calc!$D$125:$D$128,0)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20" t="s">
        <v>222</v>
      </c>
      <c r="C2" s="2"/>
    </row>
    <row r="5" spans="2:3" x14ac:dyDescent="0.3">
      <c r="B5" s="10" t="s">
        <v>223</v>
      </c>
      <c r="C5" s="10" t="s">
        <v>224</v>
      </c>
    </row>
    <row r="6" spans="2:3" x14ac:dyDescent="0.3">
      <c r="B6" s="31" t="s">
        <v>225</v>
      </c>
      <c r="C6" s="23">
        <f>_xlfn.XLOOKUP(B6,_data_calc!$A$30:$A$49,_data_calc!$B$30:$B$49,0)</f>
        <v>111798.36</v>
      </c>
    </row>
    <row r="7" spans="2:3" x14ac:dyDescent="0.3">
      <c r="B7" s="31" t="s">
        <v>226</v>
      </c>
      <c r="C7" s="23">
        <f>_xlfn.XLOOKUP(B7,_data_calc!$A$30:$A$49,_data_calc!$B$30:$B$49,0)</f>
        <v>234223.4</v>
      </c>
    </row>
    <row r="8" spans="2:3" x14ac:dyDescent="0.3">
      <c r="B8" s="31" t="s">
        <v>227</v>
      </c>
      <c r="C8" s="23">
        <f>_xlfn.XLOOKUP(B8,_data_calc!$A$30:$A$49,_data_calc!$B$30:$B$49,0)</f>
        <v>359198.85</v>
      </c>
    </row>
    <row r="9" spans="2:3" x14ac:dyDescent="0.3">
      <c r="B9" s="31" t="s">
        <v>228</v>
      </c>
      <c r="C9" s="23">
        <f>_xlfn.XLOOKUP(B9,_data_calc!$A$30:$A$49,_data_calc!$B$30:$B$49,0)</f>
        <v>340669.68</v>
      </c>
    </row>
    <row r="10" spans="2:3" x14ac:dyDescent="0.3">
      <c r="B10" s="31" t="s">
        <v>229</v>
      </c>
      <c r="C10" s="23">
        <f>_xlfn.XLOOKUP(B10,_data_calc!$A$30:$A$49,_data_calc!$B$30:$B$49,0)</f>
        <v>489338.25</v>
      </c>
    </row>
    <row r="11" spans="2:3" x14ac:dyDescent="0.3">
      <c r="B11" s="31" t="s">
        <v>230</v>
      </c>
      <c r="C11" s="23">
        <f>_xlfn.XLOOKUP(B11,_data_calc!$A$30:$A$49,_data_calc!$B$30:$B$49,0)</f>
        <v>421923.37</v>
      </c>
    </row>
    <row r="12" spans="2:3" x14ac:dyDescent="0.3">
      <c r="B12" s="31" t="s">
        <v>231</v>
      </c>
      <c r="C12" s="23">
        <f>_xlfn.XLOOKUP(B12,_data_calc!$A$30:$A$49,_data_calc!$B$30:$B$49,0)</f>
        <v>481604.52</v>
      </c>
    </row>
    <row r="13" spans="2:3" x14ac:dyDescent="0.3">
      <c r="B13" s="31" t="s">
        <v>232</v>
      </c>
      <c r="C13" s="23">
        <f>_xlfn.XLOOKUP(B13,_data_calc!$A$30:$A$49,_data_calc!$B$30:$B$49,0)</f>
        <v>554699.69999999995</v>
      </c>
    </row>
    <row r="14" spans="2:3" x14ac:dyDescent="0.3">
      <c r="B14" s="31" t="s">
        <v>233</v>
      </c>
      <c r="C14" s="23">
        <f>_xlfn.XLOOKUP(B14,_data_calc!$A$30:$A$49,_data_calc!$B$30:$B$49,0)</f>
        <v>607399.67000000004</v>
      </c>
    </row>
    <row r="15" spans="2:3" x14ac:dyDescent="0.3">
      <c r="B15" s="31" t="s">
        <v>234</v>
      </c>
      <c r="C15" s="23">
        <f>_xlfn.XLOOKUP(B15,_data_calc!$A$30:$A$49,_data_calc!$B$30:$B$49,0)</f>
        <v>648247.65</v>
      </c>
    </row>
    <row r="16" spans="2:3" x14ac:dyDescent="0.3">
      <c r="B16" s="31" t="s">
        <v>235</v>
      </c>
      <c r="C16" s="23">
        <f>_xlfn.XLOOKUP(B16,_data_calc!$A$30:$A$49,_data_calc!$B$30:$B$49,0)</f>
        <v>987765.37</v>
      </c>
    </row>
    <row r="17" spans="2:3" x14ac:dyDescent="0.3">
      <c r="B17" s="31" t="s">
        <v>236</v>
      </c>
      <c r="C17" s="23">
        <f>_xlfn.XLOOKUP(B17,_data_calc!$A$30:$A$49,_data_calc!$B$30:$B$49,0)</f>
        <v>726033.19</v>
      </c>
    </row>
    <row r="18" spans="2:3" x14ac:dyDescent="0.3">
      <c r="B18" s="31" t="s">
        <v>237</v>
      </c>
      <c r="C18" s="23">
        <f>_xlfn.XLOOKUP(B18,_data_calc!$A$30:$A$49,_data_calc!$B$30:$B$49,0)</f>
        <v>924645</v>
      </c>
    </row>
    <row r="19" spans="2:3" x14ac:dyDescent="0.3">
      <c r="B19" s="31" t="s">
        <v>238</v>
      </c>
      <c r="C19" s="23">
        <f>_xlfn.XLOOKUP(B19,_data_calc!$A$30:$A$49,_data_calc!$B$30:$B$49,0)</f>
        <v>826437.13</v>
      </c>
    </row>
    <row r="20" spans="2:3" x14ac:dyDescent="0.3">
      <c r="B20" s="31" t="s">
        <v>239</v>
      </c>
      <c r="C20" s="23">
        <f>_xlfn.XLOOKUP(B20,_data_calc!$A$30:$A$49,_data_calc!$B$30:$B$49,0)</f>
        <v>953356.25</v>
      </c>
    </row>
    <row r="21" spans="2:3" x14ac:dyDescent="0.3">
      <c r="B21" s="31" t="s">
        <v>240</v>
      </c>
      <c r="C21" s="23">
        <f>_xlfn.XLOOKUP(B21,_data_calc!$A$30:$A$49,_data_calc!$B$30:$B$49,0)</f>
        <v>973534.09</v>
      </c>
    </row>
    <row r="22" spans="2:3" x14ac:dyDescent="0.3">
      <c r="B22" s="31" t="s">
        <v>241</v>
      </c>
      <c r="C22" s="23">
        <f>_xlfn.XLOOKUP(B22,_data_calc!$A$30:$A$49,_data_calc!$B$30:$B$49,0)</f>
        <v>977544.69</v>
      </c>
    </row>
    <row r="23" spans="2:3" x14ac:dyDescent="0.3">
      <c r="B23" s="31" t="s">
        <v>242</v>
      </c>
      <c r="C23" s="23">
        <f>_xlfn.XLOOKUP(B23,_data_calc!$A$30:$A$49,_data_calc!$B$30:$B$49,0)</f>
        <v>856077.86</v>
      </c>
    </row>
    <row r="24" spans="2:3" x14ac:dyDescent="0.3">
      <c r="B24" s="31" t="s">
        <v>243</v>
      </c>
      <c r="C24" s="23">
        <f>_xlfn.XLOOKUP(B24,_data_calc!$A$30:$A$49,_data_calc!$B$30:$B$49,0)</f>
        <v>867953.46</v>
      </c>
    </row>
    <row r="25" spans="2:3" x14ac:dyDescent="0.3">
      <c r="B25" s="31" t="s">
        <v>244</v>
      </c>
      <c r="C25" s="23">
        <f>_xlfn.XLOOKUP(B25,_data_calc!$A$30:$A$49,_data_calc!$B$30:$B$49,0)</f>
        <v>838576.64000000001</v>
      </c>
    </row>
  </sheetData>
  <phoneticPr fontId="21" type="noConversion"/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0" t="s">
        <v>245</v>
      </c>
      <c r="C2" s="2"/>
      <c r="D2" s="2"/>
      <c r="E2" s="2"/>
      <c r="F2" s="2"/>
      <c r="G2" s="2"/>
      <c r="H2" s="2"/>
      <c r="I2" s="2"/>
    </row>
    <row r="3" spans="2:9" x14ac:dyDescent="0.3">
      <c r="B3" s="21" t="s">
        <v>246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247</v>
      </c>
      <c r="C5" s="10" t="s">
        <v>248</v>
      </c>
      <c r="D5" s="10" t="s">
        <v>249</v>
      </c>
      <c r="E5" s="10" t="s">
        <v>224</v>
      </c>
      <c r="F5" s="10" t="s">
        <v>250</v>
      </c>
      <c r="G5" s="10" t="s">
        <v>251</v>
      </c>
      <c r="H5" s="10" t="s">
        <v>252</v>
      </c>
      <c r="I5" s="10" t="s">
        <v>253</v>
      </c>
    </row>
    <row r="6" spans="2:9" ht="29" x14ac:dyDescent="0.35">
      <c r="B6" s="17" t="s">
        <v>254</v>
      </c>
      <c r="C6" s="23">
        <f>_xlfn.XLOOKUP(B6,_data_calc!$A$54:$A$59,_data_calc!$B$54:$B$59,0)</f>
        <v>15151</v>
      </c>
      <c r="D6" s="32">
        <f>_xlfn.XLOOKUP(B6,_data_calc!$A$54:$A$59,_data_calc!$C$54:$C$59,0)</f>
        <v>0.16200000000000001</v>
      </c>
      <c r="E6" s="23">
        <f>_xlfn.XLOOKUP(B6,_data_calc!$A$54:$A$59,_data_calc!$D$54:$D$59,0)</f>
        <v>4155457.5</v>
      </c>
      <c r="F6" s="32">
        <f>_xlfn.XLOOKUP(B6,_data_calc!$A$54:$A$59,_data_calc!$E$54:$E$59,0)</f>
        <v>0.314</v>
      </c>
      <c r="G6" s="34">
        <f>_xlfn.XLOOKUP(B6,_data_calc!$A$54:$A$59,_data_calc!$F$54:$F$59,0)</f>
        <v>274.3</v>
      </c>
      <c r="H6" s="34">
        <f>_xlfn.XLOOKUP(B6,_data_calc!$A$54:$A$59,_data_calc!$G$54:$G$59,0)</f>
        <v>90.9</v>
      </c>
      <c r="I6" s="16" t="s">
        <v>255</v>
      </c>
    </row>
    <row r="7" spans="2:9" ht="29" x14ac:dyDescent="0.35">
      <c r="B7" s="17" t="s">
        <v>256</v>
      </c>
      <c r="C7" s="23">
        <f>_xlfn.XLOOKUP(B7,_data_calc!$A$54:$A$59,_data_calc!$B$54:$B$59,0)</f>
        <v>21975</v>
      </c>
      <c r="D7" s="32">
        <f>_xlfn.XLOOKUP(B7,_data_calc!$A$54:$A$59,_data_calc!$C$54:$C$59,0)</f>
        <v>0.23499999999999999</v>
      </c>
      <c r="E7" s="23">
        <f>_xlfn.XLOOKUP(B7,_data_calc!$A$54:$A$59,_data_calc!$D$54:$D$59,0)</f>
        <v>4688537.4000000004</v>
      </c>
      <c r="F7" s="32">
        <f>_xlfn.XLOOKUP(B7,_data_calc!$A$54:$A$59,_data_calc!$E$54:$E$59,0)</f>
        <v>0.35499999999999998</v>
      </c>
      <c r="G7" s="34">
        <f>_xlfn.XLOOKUP(B7,_data_calc!$A$54:$A$59,_data_calc!$F$54:$F$59,0)</f>
        <v>213.4</v>
      </c>
      <c r="H7" s="34">
        <f>_xlfn.XLOOKUP(B7,_data_calc!$A$54:$A$59,_data_calc!$G$54:$G$59,0)</f>
        <v>393.2</v>
      </c>
      <c r="I7" s="16" t="s">
        <v>257</v>
      </c>
    </row>
    <row r="8" spans="2:9" ht="29" x14ac:dyDescent="0.35">
      <c r="B8" s="17" t="s">
        <v>258</v>
      </c>
      <c r="C8" s="23">
        <f>_xlfn.XLOOKUP(B8,_data_calc!$A$54:$A$59,_data_calc!$B$54:$B$59,0)</f>
        <v>7612</v>
      </c>
      <c r="D8" s="32">
        <f>_xlfn.XLOOKUP(B8,_data_calc!$A$54:$A$59,_data_calc!$C$54:$C$59,0)</f>
        <v>8.199999999999999E-2</v>
      </c>
      <c r="E8" s="23">
        <f>_xlfn.XLOOKUP(B8,_data_calc!$A$54:$A$59,_data_calc!$D$54:$D$59,0)</f>
        <v>675660.2</v>
      </c>
      <c r="F8" s="32">
        <f>_xlfn.XLOOKUP(B8,_data_calc!$A$54:$A$59,_data_calc!$E$54:$E$59,0)</f>
        <v>5.0999999999999997E-2</v>
      </c>
      <c r="G8" s="34">
        <f>_xlfn.XLOOKUP(B8,_data_calc!$A$54:$A$59,_data_calc!$F$54:$F$59,0)</f>
        <v>88.8</v>
      </c>
      <c r="H8" s="34">
        <f>_xlfn.XLOOKUP(B8,_data_calc!$A$54:$A$59,_data_calc!$G$54:$G$59,0)</f>
        <v>90.1</v>
      </c>
      <c r="I8" s="16" t="s">
        <v>259</v>
      </c>
    </row>
    <row r="9" spans="2:9" ht="29" x14ac:dyDescent="0.35">
      <c r="B9" s="17" t="s">
        <v>260</v>
      </c>
      <c r="C9" s="23">
        <f>_xlfn.XLOOKUP(B9,_data_calc!$A$54:$A$59,_data_calc!$B$54:$B$59,0)</f>
        <v>18672</v>
      </c>
      <c r="D9" s="32">
        <f>_xlfn.XLOOKUP(B9,_data_calc!$A$54:$A$59,_data_calc!$C$54:$C$59,0)</f>
        <v>0.2</v>
      </c>
      <c r="E9" s="23">
        <f>_xlfn.XLOOKUP(B9,_data_calc!$A$54:$A$59,_data_calc!$D$54:$D$59,0)</f>
        <v>2507492.9</v>
      </c>
      <c r="F9" s="32">
        <f>_xlfn.XLOOKUP(B9,_data_calc!$A$54:$A$59,_data_calc!$E$54:$E$59,0)</f>
        <v>0.19</v>
      </c>
      <c r="G9" s="34">
        <f>_xlfn.XLOOKUP(B9,_data_calc!$A$54:$A$59,_data_calc!$F$54:$F$59,0)</f>
        <v>134.30000000000001</v>
      </c>
      <c r="H9" s="34">
        <f>_xlfn.XLOOKUP(B9,_data_calc!$A$54:$A$59,_data_calc!$G$54:$G$59,0)</f>
        <v>219.4</v>
      </c>
      <c r="I9" s="16" t="s">
        <v>261</v>
      </c>
    </row>
    <row r="10" spans="2:9" ht="29" x14ac:dyDescent="0.35">
      <c r="B10" s="17" t="s">
        <v>262</v>
      </c>
      <c r="C10" s="23">
        <f>_xlfn.XLOOKUP(B10,_data_calc!$A$54:$A$59,_data_calc!$B$54:$B$59,0)</f>
        <v>14579</v>
      </c>
      <c r="D10" s="32">
        <f>_xlfn.XLOOKUP(B10,_data_calc!$A$54:$A$59,_data_calc!$C$54:$C$59,0)</f>
        <v>0.156</v>
      </c>
      <c r="E10" s="23">
        <f>_xlfn.XLOOKUP(B10,_data_calc!$A$54:$A$59,_data_calc!$D$54:$D$59,0)</f>
        <v>576513.30000000005</v>
      </c>
      <c r="F10" s="32">
        <f>_xlfn.XLOOKUP(B10,_data_calc!$A$54:$A$59,_data_calc!$E$54:$E$59,0)</f>
        <v>4.3999999999999997E-2</v>
      </c>
      <c r="G10" s="34">
        <f>_xlfn.XLOOKUP(B10,_data_calc!$A$54:$A$59,_data_calc!$F$54:$F$59,0)</f>
        <v>39.5</v>
      </c>
      <c r="H10" s="34">
        <f>_xlfn.XLOOKUP(B10,_data_calc!$A$54:$A$59,_data_calc!$G$54:$G$59,0)</f>
        <v>88.8</v>
      </c>
      <c r="I10" s="16" t="s">
        <v>263</v>
      </c>
    </row>
    <row r="11" spans="2:9" ht="29" x14ac:dyDescent="0.35">
      <c r="B11" s="17" t="s">
        <v>264</v>
      </c>
      <c r="C11" s="23">
        <f>_xlfn.XLOOKUP(B11,_data_calc!$A$54:$A$59,_data_calc!$B$54:$B$59,0)</f>
        <v>15369</v>
      </c>
      <c r="D11" s="32">
        <f>_xlfn.XLOOKUP(B11,_data_calc!$A$54:$A$59,_data_calc!$C$54:$C$59,0)</f>
        <v>0.16500000000000001</v>
      </c>
      <c r="E11" s="23">
        <f>_xlfn.XLOOKUP(B11,_data_calc!$A$54:$A$59,_data_calc!$D$54:$D$59,0)</f>
        <v>617836.69999999995</v>
      </c>
      <c r="F11" s="32">
        <f>_xlfn.XLOOKUP(B11,_data_calc!$A$54:$A$59,_data_calc!$E$54:$E$59,0)</f>
        <v>4.7E-2</v>
      </c>
      <c r="G11" s="34">
        <f>_xlfn.XLOOKUP(B11,_data_calc!$A$54:$A$59,_data_calc!$F$54:$F$59,0)</f>
        <v>40.200000000000003</v>
      </c>
      <c r="H11" s="34">
        <f>_xlfn.XLOOKUP(B11,_data_calc!$A$54:$A$59,_data_calc!$G$54:$G$59,0)</f>
        <v>395.5</v>
      </c>
      <c r="I11" s="16" t="s">
        <v>265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0" t="s">
        <v>266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1" t="s">
        <v>267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268</v>
      </c>
      <c r="C5" s="10" t="s">
        <v>269</v>
      </c>
      <c r="D5" s="10" t="s">
        <v>270</v>
      </c>
      <c r="E5" s="10" t="s">
        <v>271</v>
      </c>
      <c r="F5" s="10" t="s">
        <v>272</v>
      </c>
      <c r="G5" s="10" t="s">
        <v>273</v>
      </c>
      <c r="H5" s="10" t="s">
        <v>274</v>
      </c>
      <c r="I5" s="10" t="s">
        <v>275</v>
      </c>
      <c r="J5" s="10" t="s">
        <v>276</v>
      </c>
      <c r="K5" s="10" t="s">
        <v>277</v>
      </c>
      <c r="L5" s="10" t="s">
        <v>278</v>
      </c>
      <c r="M5" s="10" t="s">
        <v>279</v>
      </c>
      <c r="N5" s="10" t="s">
        <v>280</v>
      </c>
      <c r="O5" s="10" t="s">
        <v>281</v>
      </c>
    </row>
    <row r="6" spans="2:15" ht="15" x14ac:dyDescent="0.35">
      <c r="B6" s="35" t="s">
        <v>225</v>
      </c>
      <c r="C6" s="36">
        <f>INDEX(_data_calc!$B$92:$N$111,MATCH($B6,_data_calc!$A$92:$A$111,0),MATCH(C$5,_data_calc!$B$91:$N$91,0))</f>
        <v>1</v>
      </c>
      <c r="D6" s="36">
        <f>INDEX(_data_calc!$B$92:$N$111,MATCH($B6,_data_calc!$A$92:$A$111,0),MATCH(D$5,_data_calc!$B$91:$N$91,0))</f>
        <v>2.7894002789400278E-3</v>
      </c>
      <c r="E6" s="36">
        <f>INDEX(_data_calc!$B$92:$N$111,MATCH($B6,_data_calc!$A$92:$A$111,0),MATCH(E$5,_data_calc!$B$91:$N$91,0))</f>
        <v>2.7894002789400278E-3</v>
      </c>
      <c r="F6" s="36">
        <f>INDEX(_data_calc!$B$92:$N$111,MATCH($B6,_data_calc!$A$92:$A$111,0),MATCH(F$5,_data_calc!$B$91:$N$91,0))</f>
        <v>1.3947001394700139E-3</v>
      </c>
      <c r="G6" s="36">
        <f>INDEX(_data_calc!$B$92:$N$111,MATCH($B6,_data_calc!$A$92:$A$111,0),MATCH(G$5,_data_calc!$B$91:$N$91,0))</f>
        <v>4.1841004184100406E-3</v>
      </c>
      <c r="H6" s="36">
        <f>INDEX(_data_calc!$B$92:$N$111,MATCH($B6,_data_calc!$A$92:$A$111,0),MATCH(H$5,_data_calc!$B$91:$N$91,0))</f>
        <v>1.3947001394700139E-3</v>
      </c>
      <c r="I6" s="36">
        <f>INDEX(_data_calc!$B$92:$N$111,MATCH($B6,_data_calc!$A$92:$A$111,0),MATCH(I$5,_data_calc!$B$91:$N$91,0))</f>
        <v>4.1841004184100406E-3</v>
      </c>
      <c r="J6" s="36">
        <f>INDEX(_data_calc!$B$92:$N$111,MATCH($B6,_data_calc!$A$92:$A$111,0),MATCH(J$5,_data_calc!$B$91:$N$91,0))</f>
        <v>1.3947001394700139E-3</v>
      </c>
      <c r="K6" s="36">
        <f>INDEX(_data_calc!$B$92:$N$111,MATCH($B6,_data_calc!$A$92:$A$111,0),MATCH(K$5,_data_calc!$B$91:$N$91,0))</f>
        <v>1.3947001394700139E-3</v>
      </c>
      <c r="L6" s="36">
        <f>INDEX(_data_calc!$B$92:$N$111,MATCH($B6,_data_calc!$A$92:$A$111,0),MATCH(L$5,_data_calc!$B$91:$N$91,0))</f>
        <v>0</v>
      </c>
      <c r="M6" s="36">
        <f>INDEX(_data_calc!$B$92:$N$111,MATCH($B6,_data_calc!$A$92:$A$111,0),MATCH(M$5,_data_calc!$B$91:$N$91,0))</f>
        <v>4.1841004184100406E-3</v>
      </c>
      <c r="N6" s="36">
        <f>INDEX(_data_calc!$B$92:$N$111,MATCH($B6,_data_calc!$A$92:$A$111,0),MATCH(N$5,_data_calc!$B$91:$N$91,0))</f>
        <v>1.3947001394700139E-3</v>
      </c>
      <c r="O6" s="36">
        <f>INDEX(_data_calc!$B$92:$N$111,MATCH($B6,_data_calc!$A$92:$A$111,0),MATCH(O$5,_data_calc!$B$91:$N$91,0))</f>
        <v>6.9735006973500706E-3</v>
      </c>
    </row>
    <row r="7" spans="2:15" ht="15" x14ac:dyDescent="0.35">
      <c r="B7" s="35" t="s">
        <v>226</v>
      </c>
      <c r="C7" s="36">
        <f>INDEX(_data_calc!$B$92:$N$111,MATCH($B7,_data_calc!$A$92:$A$111,0),MATCH(C$5,_data_calc!$B$91:$N$91,0))</f>
        <v>1</v>
      </c>
      <c r="D7" s="36">
        <f>INDEX(_data_calc!$B$92:$N$111,MATCH($B7,_data_calc!$A$92:$A$111,0),MATCH(D$5,_data_calc!$B$91:$N$91,0))</f>
        <v>1.842751842751843E-3</v>
      </c>
      <c r="E7" s="36">
        <f>INDEX(_data_calc!$B$92:$N$111,MATCH($B7,_data_calc!$A$92:$A$111,0),MATCH(E$5,_data_calc!$B$91:$N$91,0))</f>
        <v>3.0712530712530711E-3</v>
      </c>
      <c r="F7" s="36">
        <f>INDEX(_data_calc!$B$92:$N$111,MATCH($B7,_data_calc!$A$92:$A$111,0),MATCH(F$5,_data_calc!$B$91:$N$91,0))</f>
        <v>1.228501228501228E-3</v>
      </c>
      <c r="G7" s="36">
        <f>INDEX(_data_calc!$B$92:$N$111,MATCH($B7,_data_calc!$A$92:$A$111,0),MATCH(G$5,_data_calc!$B$91:$N$91,0))</f>
        <v>4.2997542997542998E-3</v>
      </c>
      <c r="H7" s="36">
        <f>INDEX(_data_calc!$B$92:$N$111,MATCH($B7,_data_calc!$A$92:$A$111,0),MATCH(H$5,_data_calc!$B$91:$N$91,0))</f>
        <v>1.228501228501228E-3</v>
      </c>
      <c r="I7" s="36">
        <f>INDEX(_data_calc!$B$92:$N$111,MATCH($B7,_data_calc!$A$92:$A$111,0),MATCH(I$5,_data_calc!$B$91:$N$91,0))</f>
        <v>2.4570024570024569E-3</v>
      </c>
      <c r="J7" s="36">
        <f>INDEX(_data_calc!$B$92:$N$111,MATCH($B7,_data_calc!$A$92:$A$111,0),MATCH(J$5,_data_calc!$B$91:$N$91,0))</f>
        <v>1.842751842751843E-3</v>
      </c>
      <c r="K7" s="36">
        <f>INDEX(_data_calc!$B$92:$N$111,MATCH($B7,_data_calc!$A$92:$A$111,0),MATCH(K$5,_data_calc!$B$91:$N$91,0))</f>
        <v>1.228501228501228E-3</v>
      </c>
      <c r="L7" s="36">
        <f>INDEX(_data_calc!$B$92:$N$111,MATCH($B7,_data_calc!$A$92:$A$111,0),MATCH(L$5,_data_calc!$B$91:$N$91,0))</f>
        <v>1.842751842751843E-3</v>
      </c>
      <c r="M7" s="36">
        <f>INDEX(_data_calc!$B$92:$N$111,MATCH($B7,_data_calc!$A$92:$A$111,0),MATCH(M$5,_data_calc!$B$91:$N$91,0))</f>
        <v>1.228501228501228E-3</v>
      </c>
      <c r="N7" s="36">
        <f>INDEX(_data_calc!$B$92:$N$111,MATCH($B7,_data_calc!$A$92:$A$111,0),MATCH(N$5,_data_calc!$B$91:$N$91,0))</f>
        <v>3.0712530712530711E-3</v>
      </c>
      <c r="O7" s="36">
        <f>INDEX(_data_calc!$B$92:$N$111,MATCH($B7,_data_calc!$A$92:$A$111,0),MATCH(O$5,_data_calc!$B$91:$N$91,0))</f>
        <v>1.228501228501228E-3</v>
      </c>
    </row>
    <row r="8" spans="2:15" ht="15" x14ac:dyDescent="0.35">
      <c r="B8" s="35" t="s">
        <v>227</v>
      </c>
      <c r="C8" s="36">
        <f>INDEX(_data_calc!$B$92:$N$111,MATCH($B8,_data_calc!$A$92:$A$111,0),MATCH(C$5,_data_calc!$B$91:$N$91,0))</f>
        <v>1</v>
      </c>
      <c r="D8" s="36">
        <f>INDEX(_data_calc!$B$92:$N$111,MATCH($B8,_data_calc!$A$92:$A$111,0),MATCH(D$5,_data_calc!$B$91:$N$91,0))</f>
        <v>4.3947263284059134E-3</v>
      </c>
      <c r="E8" s="36">
        <f>INDEX(_data_calc!$B$92:$N$111,MATCH($B8,_data_calc!$A$92:$A$111,0),MATCH(E$5,_data_calc!$B$91:$N$91,0))</f>
        <v>3.595685177786656E-3</v>
      </c>
      <c r="F8" s="36">
        <f>INDEX(_data_calc!$B$92:$N$111,MATCH($B8,_data_calc!$A$92:$A$111,0),MATCH(F$5,_data_calc!$B$91:$N$91,0))</f>
        <v>3.9952057530962841E-3</v>
      </c>
      <c r="G8" s="36">
        <f>INDEX(_data_calc!$B$92:$N$111,MATCH($B8,_data_calc!$A$92:$A$111,0),MATCH(G$5,_data_calc!$B$91:$N$91,0))</f>
        <v>3.595685177786656E-3</v>
      </c>
      <c r="H8" s="36">
        <f>INDEX(_data_calc!$B$92:$N$111,MATCH($B8,_data_calc!$A$92:$A$111,0),MATCH(H$5,_data_calc!$B$91:$N$91,0))</f>
        <v>1.598082301238514E-3</v>
      </c>
      <c r="I8" s="36">
        <f>INDEX(_data_calc!$B$92:$N$111,MATCH($B8,_data_calc!$A$92:$A$111,0),MATCH(I$5,_data_calc!$B$91:$N$91,0))</f>
        <v>1.598082301238514E-3</v>
      </c>
      <c r="J8" s="36">
        <f>INDEX(_data_calc!$B$92:$N$111,MATCH($B8,_data_calc!$A$92:$A$111,0),MATCH(J$5,_data_calc!$B$91:$N$91,0))</f>
        <v>3.1961646024770279E-3</v>
      </c>
      <c r="K8" s="36">
        <f>INDEX(_data_calc!$B$92:$N$111,MATCH($B8,_data_calc!$A$92:$A$111,0),MATCH(K$5,_data_calc!$B$91:$N$91,0))</f>
        <v>3.1961646024770279E-3</v>
      </c>
      <c r="L8" s="36">
        <f>INDEX(_data_calc!$B$92:$N$111,MATCH($B8,_data_calc!$A$92:$A$111,0),MATCH(L$5,_data_calc!$B$91:$N$91,0))</f>
        <v>7.9904115061925688E-4</v>
      </c>
      <c r="M8" s="36">
        <f>INDEX(_data_calc!$B$92:$N$111,MATCH($B8,_data_calc!$A$92:$A$111,0),MATCH(M$5,_data_calc!$B$91:$N$91,0))</f>
        <v>3.595685177786656E-3</v>
      </c>
      <c r="N8" s="36">
        <f>INDEX(_data_calc!$B$92:$N$111,MATCH($B8,_data_calc!$A$92:$A$111,0),MATCH(N$5,_data_calc!$B$91:$N$91,0))</f>
        <v>1.198561725928885E-3</v>
      </c>
      <c r="O8" s="36">
        <f>INDEX(_data_calc!$B$92:$N$111,MATCH($B8,_data_calc!$A$92:$A$111,0),MATCH(O$5,_data_calc!$B$91:$N$91,0))</f>
        <v>1.997602876548142E-3</v>
      </c>
    </row>
    <row r="9" spans="2:15" ht="15" x14ac:dyDescent="0.35">
      <c r="B9" s="35" t="s">
        <v>228</v>
      </c>
      <c r="C9" s="36">
        <f>INDEX(_data_calc!$B$92:$N$111,MATCH($B9,_data_calc!$A$92:$A$111,0),MATCH(C$5,_data_calc!$B$91:$N$91,0))</f>
        <v>1</v>
      </c>
      <c r="D9" s="36">
        <f>INDEX(_data_calc!$B$92:$N$111,MATCH($B9,_data_calc!$A$92:$A$111,0),MATCH(D$5,_data_calc!$B$91:$N$91,0))</f>
        <v>6.2056737588652494E-3</v>
      </c>
      <c r="E9" s="36">
        <f>INDEX(_data_calc!$B$92:$N$111,MATCH($B9,_data_calc!$A$92:$A$111,0),MATCH(E$5,_data_calc!$B$91:$N$91,0))</f>
        <v>2.2163120567375888E-3</v>
      </c>
      <c r="F9" s="36">
        <f>INDEX(_data_calc!$B$92:$N$111,MATCH($B9,_data_calc!$A$92:$A$111,0),MATCH(F$5,_data_calc!$B$91:$N$91,0))</f>
        <v>1.7730496453900711E-3</v>
      </c>
      <c r="G9" s="36">
        <f>INDEX(_data_calc!$B$92:$N$111,MATCH($B9,_data_calc!$A$92:$A$111,0),MATCH(G$5,_data_calc!$B$91:$N$91,0))</f>
        <v>2.6595744680851059E-3</v>
      </c>
      <c r="H9" s="36">
        <f>INDEX(_data_calc!$B$92:$N$111,MATCH($B9,_data_calc!$A$92:$A$111,0),MATCH(H$5,_data_calc!$B$91:$N$91,0))</f>
        <v>2.6595744680851059E-3</v>
      </c>
      <c r="I9" s="36">
        <f>INDEX(_data_calc!$B$92:$N$111,MATCH($B9,_data_calc!$A$92:$A$111,0),MATCH(I$5,_data_calc!$B$91:$N$91,0))</f>
        <v>3.5460992907801422E-3</v>
      </c>
      <c r="J9" s="36">
        <f>INDEX(_data_calc!$B$92:$N$111,MATCH($B9,_data_calc!$A$92:$A$111,0),MATCH(J$5,_data_calc!$B$91:$N$91,0))</f>
        <v>3.1028368794326238E-3</v>
      </c>
      <c r="K9" s="36">
        <f>INDEX(_data_calc!$B$92:$N$111,MATCH($B9,_data_calc!$A$92:$A$111,0),MATCH(K$5,_data_calc!$B$91:$N$91,0))</f>
        <v>3.1028368794326238E-3</v>
      </c>
      <c r="L9" s="36">
        <f>INDEX(_data_calc!$B$92:$N$111,MATCH($B9,_data_calc!$A$92:$A$111,0),MATCH(L$5,_data_calc!$B$91:$N$91,0))</f>
        <v>1.7730496453900711E-3</v>
      </c>
      <c r="M9" s="36">
        <f>INDEX(_data_calc!$B$92:$N$111,MATCH($B9,_data_calc!$A$92:$A$111,0),MATCH(M$5,_data_calc!$B$91:$N$91,0))</f>
        <v>2.6595744680851059E-3</v>
      </c>
      <c r="N9" s="36">
        <f>INDEX(_data_calc!$B$92:$N$111,MATCH($B9,_data_calc!$A$92:$A$111,0),MATCH(N$5,_data_calc!$B$91:$N$91,0))</f>
        <v>8.8652482269503544E-4</v>
      </c>
      <c r="O9" s="36">
        <f>INDEX(_data_calc!$B$92:$N$111,MATCH($B9,_data_calc!$A$92:$A$111,0),MATCH(O$5,_data_calc!$B$91:$N$91,0))</f>
        <v>4.4326241134751772E-4</v>
      </c>
    </row>
    <row r="10" spans="2:15" ht="15" x14ac:dyDescent="0.35">
      <c r="B10" s="35" t="s">
        <v>229</v>
      </c>
      <c r="C10" s="36">
        <f>INDEX(_data_calc!$B$92:$N$111,MATCH($B10,_data_calc!$A$92:$A$111,0),MATCH(C$5,_data_calc!$B$91:$N$91,0))</f>
        <v>1</v>
      </c>
      <c r="D10" s="36">
        <f>INDEX(_data_calc!$B$92:$N$111,MATCH($B10,_data_calc!$A$92:$A$111,0),MATCH(D$5,_data_calc!$B$91:$N$91,0))</f>
        <v>4.6363372935381052E-3</v>
      </c>
      <c r="E10" s="36">
        <f>INDEX(_data_calc!$B$92:$N$111,MATCH($B10,_data_calc!$A$92:$A$111,0),MATCH(E$5,_data_calc!$B$91:$N$91,0))</f>
        <v>4.6363372935381052E-3</v>
      </c>
      <c r="F10" s="36">
        <f>INDEX(_data_calc!$B$92:$N$111,MATCH($B10,_data_calc!$A$92:$A$111,0),MATCH(F$5,_data_calc!$B$91:$N$91,0))</f>
        <v>2.8977108084613161E-3</v>
      </c>
      <c r="G10" s="36">
        <f>INDEX(_data_calc!$B$92:$N$111,MATCH($B10,_data_calc!$A$92:$A$111,0),MATCH(G$5,_data_calc!$B$91:$N$91,0))</f>
        <v>2.8977108084613161E-3</v>
      </c>
      <c r="H10" s="36">
        <f>INDEX(_data_calc!$B$92:$N$111,MATCH($B10,_data_calc!$A$92:$A$111,0),MATCH(H$5,_data_calc!$B$91:$N$91,0))</f>
        <v>3.1874818893074469E-3</v>
      </c>
      <c r="I10" s="36">
        <f>INDEX(_data_calc!$B$92:$N$111,MATCH($B10,_data_calc!$A$92:$A$111,0),MATCH(I$5,_data_calc!$B$91:$N$91,0))</f>
        <v>4.0567951318458417E-3</v>
      </c>
      <c r="J10" s="36">
        <f>INDEX(_data_calc!$B$92:$N$111,MATCH($B10,_data_calc!$A$92:$A$111,0),MATCH(J$5,_data_calc!$B$91:$N$91,0))</f>
        <v>1.448855404230658E-3</v>
      </c>
      <c r="K10" s="36">
        <f>INDEX(_data_calc!$B$92:$N$111,MATCH($B10,_data_calc!$A$92:$A$111,0),MATCH(K$5,_data_calc!$B$91:$N$91,0))</f>
        <v>2.6079397276151839E-3</v>
      </c>
      <c r="L10" s="36">
        <f>INDEX(_data_calc!$B$92:$N$111,MATCH($B10,_data_calc!$A$92:$A$111,0),MATCH(L$5,_data_calc!$B$91:$N$91,0))</f>
        <v>2.6079397276151839E-3</v>
      </c>
      <c r="M10" s="36">
        <f>INDEX(_data_calc!$B$92:$N$111,MATCH($B10,_data_calc!$A$92:$A$111,0),MATCH(M$5,_data_calc!$B$91:$N$91,0))</f>
        <v>2.6079397276151839E-3</v>
      </c>
      <c r="N10" s="36">
        <f>INDEX(_data_calc!$B$92:$N$111,MATCH($B10,_data_calc!$A$92:$A$111,0),MATCH(N$5,_data_calc!$B$91:$N$91,0))</f>
        <v>3.4772529701535791E-3</v>
      </c>
      <c r="O10" s="36">
        <f>INDEX(_data_calc!$B$92:$N$111,MATCH($B10,_data_calc!$A$92:$A$111,0),MATCH(O$5,_data_calc!$B$91:$N$91,0))</f>
        <v>2.318168646769053E-3</v>
      </c>
    </row>
    <row r="11" spans="2:15" ht="15" x14ac:dyDescent="0.35">
      <c r="B11" s="35" t="s">
        <v>230</v>
      </c>
      <c r="C11" s="36">
        <f>INDEX(_data_calc!$B$92:$N$111,MATCH($B11,_data_calc!$A$92:$A$111,0),MATCH(C$5,_data_calc!$B$91:$N$91,0))</f>
        <v>1</v>
      </c>
      <c r="D11" s="36">
        <f>INDEX(_data_calc!$B$92:$N$111,MATCH($B11,_data_calc!$A$92:$A$111,0),MATCH(D$5,_data_calc!$B$91:$N$91,0))</f>
        <v>4.9390846229832074E-3</v>
      </c>
      <c r="E11" s="36">
        <f>INDEX(_data_calc!$B$92:$N$111,MATCH($B11,_data_calc!$A$92:$A$111,0),MATCH(E$5,_data_calc!$B$91:$N$91,0))</f>
        <v>3.9512676983865661E-3</v>
      </c>
      <c r="F11" s="36">
        <f>INDEX(_data_calc!$B$92:$N$111,MATCH($B11,_data_calc!$A$92:$A$111,0),MATCH(F$5,_data_calc!$B$91:$N$91,0))</f>
        <v>4.2805400065854459E-3</v>
      </c>
      <c r="G11" s="36">
        <f>INDEX(_data_calc!$B$92:$N$111,MATCH($B11,_data_calc!$A$92:$A$111,0),MATCH(G$5,_data_calc!$B$91:$N$91,0))</f>
        <v>2.9634507737899252E-3</v>
      </c>
      <c r="H11" s="36">
        <f>INDEX(_data_calc!$B$92:$N$111,MATCH($B11,_data_calc!$A$92:$A$111,0),MATCH(H$5,_data_calc!$B$91:$N$91,0))</f>
        <v>3.9512676983865661E-3</v>
      </c>
      <c r="I11" s="36">
        <f>INDEX(_data_calc!$B$92:$N$111,MATCH($B11,_data_calc!$A$92:$A$111,0),MATCH(I$5,_data_calc!$B$91:$N$91,0))</f>
        <v>3.6219953901876849E-3</v>
      </c>
      <c r="J11" s="36">
        <f>INDEX(_data_calc!$B$92:$N$111,MATCH($B11,_data_calc!$A$92:$A$111,0),MATCH(J$5,_data_calc!$B$91:$N$91,0))</f>
        <v>2.3049061573921629E-3</v>
      </c>
      <c r="K11" s="36">
        <f>INDEX(_data_calc!$B$92:$N$111,MATCH($B11,_data_calc!$A$92:$A$111,0),MATCH(K$5,_data_calc!$B$91:$N$91,0))</f>
        <v>1.317089232795522E-3</v>
      </c>
      <c r="L11" s="36">
        <f>INDEX(_data_calc!$B$92:$N$111,MATCH($B11,_data_calc!$A$92:$A$111,0),MATCH(L$5,_data_calc!$B$91:$N$91,0))</f>
        <v>1.975633849193283E-3</v>
      </c>
      <c r="M11" s="36">
        <f>INDEX(_data_calc!$B$92:$N$111,MATCH($B11,_data_calc!$A$92:$A$111,0),MATCH(M$5,_data_calc!$B$91:$N$91,0))</f>
        <v>2.9634507737899252E-3</v>
      </c>
      <c r="N11" s="36">
        <f>INDEX(_data_calc!$B$92:$N$111,MATCH($B11,_data_calc!$A$92:$A$111,0),MATCH(N$5,_data_calc!$B$91:$N$91,0))</f>
        <v>3.6219953901876849E-3</v>
      </c>
      <c r="O11" s="36">
        <f>INDEX(_data_calc!$B$92:$N$111,MATCH($B11,_data_calc!$A$92:$A$111,0),MATCH(O$5,_data_calc!$B$91:$N$91,0))</f>
        <v>1.6463615409944021E-3</v>
      </c>
    </row>
    <row r="12" spans="2:15" ht="15" x14ac:dyDescent="0.35">
      <c r="B12" s="35" t="s">
        <v>231</v>
      </c>
      <c r="C12" s="36">
        <f>INDEX(_data_calc!$B$92:$N$111,MATCH($B12,_data_calc!$A$92:$A$111,0),MATCH(C$5,_data_calc!$B$91:$N$91,0))</f>
        <v>1</v>
      </c>
      <c r="D12" s="36">
        <f>INDEX(_data_calc!$B$92:$N$111,MATCH($B12,_data_calc!$A$92:$A$111,0),MATCH(D$5,_data_calc!$B$91:$N$91,0))</f>
        <v>5.3304904051172707E-3</v>
      </c>
      <c r="E12" s="36">
        <f>INDEX(_data_calc!$B$92:$N$111,MATCH($B12,_data_calc!$A$92:$A$111,0),MATCH(E$5,_data_calc!$B$91:$N$91,0))</f>
        <v>3.4648187633262262E-3</v>
      </c>
      <c r="F12" s="36">
        <f>INDEX(_data_calc!$B$92:$N$111,MATCH($B12,_data_calc!$A$92:$A$111,0),MATCH(F$5,_data_calc!$B$91:$N$91,0))</f>
        <v>2.398720682302772E-3</v>
      </c>
      <c r="G12" s="36">
        <f>INDEX(_data_calc!$B$92:$N$111,MATCH($B12,_data_calc!$A$92:$A$111,0),MATCH(G$5,_data_calc!$B$91:$N$91,0))</f>
        <v>2.9317697228144991E-3</v>
      </c>
      <c r="H12" s="36">
        <f>INDEX(_data_calc!$B$92:$N$111,MATCH($B12,_data_calc!$A$92:$A$111,0),MATCH(H$5,_data_calc!$B$91:$N$91,0))</f>
        <v>2.1321961620469078E-3</v>
      </c>
      <c r="I12" s="36">
        <f>INDEX(_data_calc!$B$92:$N$111,MATCH($B12,_data_calc!$A$92:$A$111,0),MATCH(I$5,_data_calc!$B$91:$N$91,0))</f>
        <v>3.198294243070362E-3</v>
      </c>
      <c r="J12" s="36">
        <f>INDEX(_data_calc!$B$92:$N$111,MATCH($B12,_data_calc!$A$92:$A$111,0),MATCH(J$5,_data_calc!$B$91:$N$91,0))</f>
        <v>1.0660980810234539E-3</v>
      </c>
      <c r="K12" s="36">
        <f>INDEX(_data_calc!$B$92:$N$111,MATCH($B12,_data_calc!$A$92:$A$111,0),MATCH(K$5,_data_calc!$B$91:$N$91,0))</f>
        <v>1.865671641791045E-3</v>
      </c>
      <c r="L12" s="36">
        <f>INDEX(_data_calc!$B$92:$N$111,MATCH($B12,_data_calc!$A$92:$A$111,0),MATCH(L$5,_data_calc!$B$91:$N$91,0))</f>
        <v>2.6652452025586349E-3</v>
      </c>
      <c r="M12" s="36">
        <f>INDEX(_data_calc!$B$92:$N$111,MATCH($B12,_data_calc!$A$92:$A$111,0),MATCH(M$5,_data_calc!$B$91:$N$91,0))</f>
        <v>2.1321961620469078E-3</v>
      </c>
      <c r="N12" s="36">
        <f>INDEX(_data_calc!$B$92:$N$111,MATCH($B12,_data_calc!$A$92:$A$111,0),MATCH(N$5,_data_calc!$B$91:$N$91,0))</f>
        <v>2.9317697228144991E-3</v>
      </c>
      <c r="O12" s="36">
        <f>INDEX(_data_calc!$B$92:$N$111,MATCH($B12,_data_calc!$A$92:$A$111,0),MATCH(O$5,_data_calc!$B$91:$N$91,0))</f>
        <v>1.3326226012793181E-3</v>
      </c>
    </row>
    <row r="13" spans="2:15" ht="15" x14ac:dyDescent="0.35">
      <c r="B13" s="35" t="s">
        <v>232</v>
      </c>
      <c r="C13" s="36">
        <f>INDEX(_data_calc!$B$92:$N$111,MATCH($B13,_data_calc!$A$92:$A$111,0),MATCH(C$5,_data_calc!$B$91:$N$91,0))</f>
        <v>1</v>
      </c>
      <c r="D13" s="36">
        <f>INDEX(_data_calc!$B$92:$N$111,MATCH($B13,_data_calc!$A$92:$A$111,0),MATCH(D$5,_data_calc!$B$91:$N$91,0))</f>
        <v>6.9016514666009367E-3</v>
      </c>
      <c r="E13" s="36">
        <f>INDEX(_data_calc!$B$92:$N$111,MATCH($B13,_data_calc!$A$92:$A$111,0),MATCH(E$5,_data_calc!$B$91:$N$91,0))</f>
        <v>3.4508257333004679E-3</v>
      </c>
      <c r="F13" s="36">
        <f>INDEX(_data_calc!$B$92:$N$111,MATCH($B13,_data_calc!$A$92:$A$111,0),MATCH(F$5,_data_calc!$B$91:$N$91,0))</f>
        <v>2.7113630761646541E-3</v>
      </c>
      <c r="G13" s="36">
        <f>INDEX(_data_calc!$B$92:$N$111,MATCH($B13,_data_calc!$A$92:$A$111,0),MATCH(G$5,_data_calc!$B$91:$N$91,0))</f>
        <v>3.4508257333004679E-3</v>
      </c>
      <c r="H13" s="36">
        <f>INDEX(_data_calc!$B$92:$N$111,MATCH($B13,_data_calc!$A$92:$A$111,0),MATCH(H$5,_data_calc!$B$91:$N$91,0))</f>
        <v>5.1762385999507034E-3</v>
      </c>
      <c r="I13" s="36">
        <f>INDEX(_data_calc!$B$92:$N$111,MATCH($B13,_data_calc!$A$92:$A$111,0),MATCH(I$5,_data_calc!$B$91:$N$91,0))</f>
        <v>2.957850628543258E-3</v>
      </c>
      <c r="J13" s="36">
        <f>INDEX(_data_calc!$B$92:$N$111,MATCH($B13,_data_calc!$A$92:$A$111,0),MATCH(J$5,_data_calc!$B$91:$N$91,0))</f>
        <v>2.7113630761646541E-3</v>
      </c>
      <c r="K13" s="36">
        <f>INDEX(_data_calc!$B$92:$N$111,MATCH($B13,_data_calc!$A$92:$A$111,0),MATCH(K$5,_data_calc!$B$91:$N$91,0))</f>
        <v>1.478925314271629E-3</v>
      </c>
      <c r="L13" s="36">
        <f>INDEX(_data_calc!$B$92:$N$111,MATCH($B13,_data_calc!$A$92:$A$111,0),MATCH(L$5,_data_calc!$B$91:$N$91,0))</f>
        <v>1.478925314271629E-3</v>
      </c>
      <c r="M13" s="36">
        <f>INDEX(_data_calc!$B$92:$N$111,MATCH($B13,_data_calc!$A$92:$A$111,0),MATCH(M$5,_data_calc!$B$91:$N$91,0))</f>
        <v>2.4648755237860489E-3</v>
      </c>
      <c r="N13" s="36">
        <f>INDEX(_data_calc!$B$92:$N$111,MATCH($B13,_data_calc!$A$92:$A$111,0),MATCH(N$5,_data_calc!$B$91:$N$91,0))</f>
        <v>1.9719004190288389E-3</v>
      </c>
      <c r="O13" s="36">
        <f>INDEX(_data_calc!$B$92:$N$111,MATCH($B13,_data_calc!$A$92:$A$111,0),MATCH(O$5,_data_calc!$B$91:$N$91,0))</f>
        <v>1.232437761893024E-3</v>
      </c>
    </row>
    <row r="14" spans="2:15" ht="15" x14ac:dyDescent="0.35">
      <c r="B14" s="35" t="s">
        <v>233</v>
      </c>
      <c r="C14" s="36">
        <f>INDEX(_data_calc!$B$92:$N$111,MATCH($B14,_data_calc!$A$92:$A$111,0),MATCH(C$5,_data_calc!$B$91:$N$91,0))</f>
        <v>1</v>
      </c>
      <c r="D14" s="36">
        <f>INDEX(_data_calc!$B$92:$N$111,MATCH($B14,_data_calc!$A$92:$A$111,0),MATCH(D$5,_data_calc!$B$91:$N$91,0))</f>
        <v>6.993006993006993E-3</v>
      </c>
      <c r="E14" s="36">
        <f>INDEX(_data_calc!$B$92:$N$111,MATCH($B14,_data_calc!$A$92:$A$111,0),MATCH(E$5,_data_calc!$B$91:$N$91,0))</f>
        <v>5.4945054945054949E-3</v>
      </c>
      <c r="F14" s="36">
        <f>INDEX(_data_calc!$B$92:$N$111,MATCH($B14,_data_calc!$A$92:$A$111,0),MATCH(F$5,_data_calc!$B$91:$N$91,0))</f>
        <v>2.747252747252747E-3</v>
      </c>
      <c r="G14" s="36">
        <f>INDEX(_data_calc!$B$92:$N$111,MATCH($B14,_data_calc!$A$92:$A$111,0),MATCH(G$5,_data_calc!$B$91:$N$91,0))</f>
        <v>4.4955044955044959E-3</v>
      </c>
      <c r="H14" s="36">
        <f>INDEX(_data_calc!$B$92:$N$111,MATCH($B14,_data_calc!$A$92:$A$111,0),MATCH(H$5,_data_calc!$B$91:$N$91,0))</f>
        <v>2.247752247752248E-3</v>
      </c>
      <c r="I14" s="36">
        <f>INDEX(_data_calc!$B$92:$N$111,MATCH($B14,_data_calc!$A$92:$A$111,0),MATCH(I$5,_data_calc!$B$91:$N$91,0))</f>
        <v>2.247752247752248E-3</v>
      </c>
      <c r="J14" s="36">
        <f>INDEX(_data_calc!$B$92:$N$111,MATCH($B14,_data_calc!$A$92:$A$111,0),MATCH(J$5,_data_calc!$B$91:$N$91,0))</f>
        <v>2.4975024975024979E-3</v>
      </c>
      <c r="K14" s="36">
        <f>INDEX(_data_calc!$B$92:$N$111,MATCH($B14,_data_calc!$A$92:$A$111,0),MATCH(K$5,_data_calc!$B$91:$N$91,0))</f>
        <v>2.747252747252747E-3</v>
      </c>
      <c r="L14" s="36">
        <f>INDEX(_data_calc!$B$92:$N$111,MATCH($B14,_data_calc!$A$92:$A$111,0),MATCH(L$5,_data_calc!$B$91:$N$91,0))</f>
        <v>1.748251748251748E-3</v>
      </c>
      <c r="M14" s="36">
        <f>INDEX(_data_calc!$B$92:$N$111,MATCH($B14,_data_calc!$A$92:$A$111,0),MATCH(M$5,_data_calc!$B$91:$N$91,0))</f>
        <v>2.4975024975024979E-3</v>
      </c>
      <c r="N14" s="36">
        <f>INDEX(_data_calc!$B$92:$N$111,MATCH($B14,_data_calc!$A$92:$A$111,0),MATCH(N$5,_data_calc!$B$91:$N$91,0))</f>
        <v>7.4925074925074925E-4</v>
      </c>
      <c r="O14" s="36">
        <f>INDEX(_data_calc!$B$92:$N$111,MATCH($B14,_data_calc!$A$92:$A$111,0),MATCH(O$5,_data_calc!$B$91:$N$91,0))</f>
        <v>0</v>
      </c>
    </row>
    <row r="15" spans="2:15" ht="15" x14ac:dyDescent="0.35">
      <c r="B15" s="35" t="s">
        <v>234</v>
      </c>
      <c r="C15" s="36">
        <f>INDEX(_data_calc!$B$92:$N$111,MATCH($B15,_data_calc!$A$92:$A$111,0),MATCH(C$5,_data_calc!$B$91:$N$91,0))</f>
        <v>1</v>
      </c>
      <c r="D15" s="36">
        <f>INDEX(_data_calc!$B$92:$N$111,MATCH($B15,_data_calc!$A$92:$A$111,0),MATCH(D$5,_data_calc!$B$91:$N$91,0))</f>
        <v>7.1626617375231049E-3</v>
      </c>
      <c r="E15" s="36">
        <f>INDEX(_data_calc!$B$92:$N$111,MATCH($B15,_data_calc!$A$92:$A$111,0),MATCH(E$5,_data_calc!$B$91:$N$91,0))</f>
        <v>2.5415896487985209E-3</v>
      </c>
      <c r="F15" s="36">
        <f>INDEX(_data_calc!$B$92:$N$111,MATCH($B15,_data_calc!$A$92:$A$111,0),MATCH(F$5,_data_calc!$B$91:$N$91,0))</f>
        <v>9.2421441774491681E-4</v>
      </c>
      <c r="G15" s="36">
        <f>INDEX(_data_calc!$B$92:$N$111,MATCH($B15,_data_calc!$A$92:$A$111,0),MATCH(G$5,_data_calc!$B$91:$N$91,0))</f>
        <v>2.3105360443622918E-3</v>
      </c>
      <c r="H15" s="36">
        <f>INDEX(_data_calc!$B$92:$N$111,MATCH($B15,_data_calc!$A$92:$A$111,0),MATCH(H$5,_data_calc!$B$91:$N$91,0))</f>
        <v>2.0794824399260631E-3</v>
      </c>
      <c r="I15" s="36">
        <f>INDEX(_data_calc!$B$92:$N$111,MATCH($B15,_data_calc!$A$92:$A$111,0),MATCH(I$5,_data_calc!$B$91:$N$91,0))</f>
        <v>2.0794824399260631E-3</v>
      </c>
      <c r="J15" s="36">
        <f>INDEX(_data_calc!$B$92:$N$111,MATCH($B15,_data_calc!$A$92:$A$111,0),MATCH(J$5,_data_calc!$B$91:$N$91,0))</f>
        <v>3.6968576709796668E-3</v>
      </c>
      <c r="K15" s="36">
        <f>INDEX(_data_calc!$B$92:$N$111,MATCH($B15,_data_calc!$A$92:$A$111,0),MATCH(K$5,_data_calc!$B$91:$N$91,0))</f>
        <v>2.77264325323475E-3</v>
      </c>
      <c r="L15" s="36">
        <f>INDEX(_data_calc!$B$92:$N$111,MATCH($B15,_data_calc!$A$92:$A$111,0),MATCH(L$5,_data_calc!$B$91:$N$91,0))</f>
        <v>1.8484288354898341E-3</v>
      </c>
      <c r="M15" s="36">
        <f>INDEX(_data_calc!$B$92:$N$111,MATCH($B15,_data_calc!$A$92:$A$111,0),MATCH(M$5,_data_calc!$B$91:$N$91,0))</f>
        <v>2.0794824399260631E-3</v>
      </c>
      <c r="N15" s="36">
        <f>INDEX(_data_calc!$B$92:$N$111,MATCH($B15,_data_calc!$A$92:$A$111,0),MATCH(N$5,_data_calc!$B$91:$N$91,0))</f>
        <v>0</v>
      </c>
      <c r="O15" s="36">
        <f>INDEX(_data_calc!$B$92:$N$111,MATCH($B15,_data_calc!$A$92:$A$111,0),MATCH(O$5,_data_calc!$B$91:$N$91,0))</f>
        <v>0</v>
      </c>
    </row>
    <row r="16" spans="2:15" ht="15" x14ac:dyDescent="0.35">
      <c r="B16" s="35" t="s">
        <v>235</v>
      </c>
      <c r="C16" s="36">
        <f>INDEX(_data_calc!$B$92:$N$111,MATCH($B16,_data_calc!$A$92:$A$111,0),MATCH(C$5,_data_calc!$B$91:$N$91,0))</f>
        <v>1</v>
      </c>
      <c r="D16" s="36">
        <f>INDEX(_data_calc!$B$92:$N$111,MATCH($B16,_data_calc!$A$92:$A$111,0),MATCH(D$5,_data_calc!$B$91:$N$91,0))</f>
        <v>5.6657223796033997E-3</v>
      </c>
      <c r="E16" s="36">
        <f>INDEX(_data_calc!$B$92:$N$111,MATCH($B16,_data_calc!$A$92:$A$111,0),MATCH(E$5,_data_calc!$B$91:$N$91,0))</f>
        <v>3.6827195467422102E-3</v>
      </c>
      <c r="F16" s="36">
        <f>INDEX(_data_calc!$B$92:$N$111,MATCH($B16,_data_calc!$A$92:$A$111,0),MATCH(F$5,_data_calc!$B$91:$N$91,0))</f>
        <v>1.69971671388102E-3</v>
      </c>
      <c r="G16" s="36">
        <f>INDEX(_data_calc!$B$92:$N$111,MATCH($B16,_data_calc!$A$92:$A$111,0),MATCH(G$5,_data_calc!$B$91:$N$91,0))</f>
        <v>1.69971671388102E-3</v>
      </c>
      <c r="H16" s="36">
        <f>INDEX(_data_calc!$B$92:$N$111,MATCH($B16,_data_calc!$A$92:$A$111,0),MATCH(H$5,_data_calc!$B$91:$N$91,0))</f>
        <v>1.8413597733711051E-3</v>
      </c>
      <c r="I16" s="36">
        <f>INDEX(_data_calc!$B$92:$N$111,MATCH($B16,_data_calc!$A$92:$A$111,0),MATCH(I$5,_data_calc!$B$91:$N$91,0))</f>
        <v>1.13314447592068E-3</v>
      </c>
      <c r="J16" s="36">
        <f>INDEX(_data_calc!$B$92:$N$111,MATCH($B16,_data_calc!$A$92:$A$111,0),MATCH(J$5,_data_calc!$B$91:$N$91,0))</f>
        <v>1.8413597733711051E-3</v>
      </c>
      <c r="K16" s="36">
        <f>INDEX(_data_calc!$B$92:$N$111,MATCH($B16,_data_calc!$A$92:$A$111,0),MATCH(K$5,_data_calc!$B$91:$N$91,0))</f>
        <v>1.2747875354107651E-3</v>
      </c>
      <c r="L16" s="36">
        <f>INDEX(_data_calc!$B$92:$N$111,MATCH($B16,_data_calc!$A$92:$A$111,0),MATCH(L$5,_data_calc!$B$91:$N$91,0))</f>
        <v>5.6657223796033991E-4</v>
      </c>
      <c r="M16" s="36">
        <f>INDEX(_data_calc!$B$92:$N$111,MATCH($B16,_data_calc!$A$92:$A$111,0),MATCH(M$5,_data_calc!$B$91:$N$91,0))</f>
        <v>0</v>
      </c>
      <c r="N16" s="36">
        <f>INDEX(_data_calc!$B$92:$N$111,MATCH($B16,_data_calc!$A$92:$A$111,0),MATCH(N$5,_data_calc!$B$91:$N$91,0))</f>
        <v>0</v>
      </c>
      <c r="O16" s="36">
        <f>INDEX(_data_calc!$B$92:$N$111,MATCH($B16,_data_calc!$A$92:$A$111,0),MATCH(O$5,_data_calc!$B$91:$N$91,0))</f>
        <v>0</v>
      </c>
    </row>
    <row r="17" spans="2:15" ht="15" x14ac:dyDescent="0.35">
      <c r="B17" s="35" t="s">
        <v>236</v>
      </c>
      <c r="C17" s="36">
        <f>INDEX(_data_calc!$B$92:$N$111,MATCH($B17,_data_calc!$A$92:$A$111,0),MATCH(C$5,_data_calc!$B$91:$N$91,0))</f>
        <v>1</v>
      </c>
      <c r="D17" s="36">
        <f>INDEX(_data_calc!$B$92:$N$111,MATCH($B17,_data_calc!$A$92:$A$111,0),MATCH(D$5,_data_calc!$B$91:$N$91,0))</f>
        <v>2.060696890221056E-3</v>
      </c>
      <c r="E17" s="36">
        <f>INDEX(_data_calc!$B$92:$N$111,MATCH($B17,_data_calc!$A$92:$A$111,0),MATCH(E$5,_data_calc!$B$91:$N$91,0))</f>
        <v>2.8100412139378042E-3</v>
      </c>
      <c r="F17" s="36">
        <f>INDEX(_data_calc!$B$92:$N$111,MATCH($B17,_data_calc!$A$92:$A$111,0),MATCH(F$5,_data_calc!$B$91:$N$91,0))</f>
        <v>3.3720494567253648E-3</v>
      </c>
      <c r="G17" s="36">
        <f>INDEX(_data_calc!$B$92:$N$111,MATCH($B17,_data_calc!$A$92:$A$111,0),MATCH(G$5,_data_calc!$B$91:$N$91,0))</f>
        <v>2.6227051330086171E-3</v>
      </c>
      <c r="H17" s="36">
        <f>INDEX(_data_calc!$B$92:$N$111,MATCH($B17,_data_calc!$A$92:$A$111,0),MATCH(H$5,_data_calc!$B$91:$N$91,0))</f>
        <v>2.060696890221056E-3</v>
      </c>
      <c r="I17" s="36">
        <f>INDEX(_data_calc!$B$92:$N$111,MATCH($B17,_data_calc!$A$92:$A$111,0),MATCH(I$5,_data_calc!$B$91:$N$91,0))</f>
        <v>1.686024728362683E-3</v>
      </c>
      <c r="J17" s="36">
        <f>INDEX(_data_calc!$B$92:$N$111,MATCH($B17,_data_calc!$A$92:$A$111,0),MATCH(J$5,_data_calc!$B$91:$N$91,0))</f>
        <v>1.8733608092918699E-4</v>
      </c>
      <c r="K17" s="36">
        <f>INDEX(_data_calc!$B$92:$N$111,MATCH($B17,_data_calc!$A$92:$A$111,0),MATCH(K$5,_data_calc!$B$91:$N$91,0))</f>
        <v>1.87336080929187E-3</v>
      </c>
      <c r="L17" s="36">
        <f>INDEX(_data_calc!$B$92:$N$111,MATCH($B17,_data_calc!$A$92:$A$111,0),MATCH(L$5,_data_calc!$B$91:$N$91,0))</f>
        <v>0</v>
      </c>
      <c r="M17" s="36">
        <f>INDEX(_data_calc!$B$92:$N$111,MATCH($B17,_data_calc!$A$92:$A$111,0),MATCH(M$5,_data_calc!$B$91:$N$91,0))</f>
        <v>0</v>
      </c>
      <c r="N17" s="36">
        <f>INDEX(_data_calc!$B$92:$N$111,MATCH($B17,_data_calc!$A$92:$A$111,0),MATCH(N$5,_data_calc!$B$91:$N$91,0))</f>
        <v>0</v>
      </c>
      <c r="O17" s="36">
        <f>INDEX(_data_calc!$B$92:$N$111,MATCH($B17,_data_calc!$A$92:$A$111,0),MATCH(O$5,_data_calc!$B$91:$N$91,0))</f>
        <v>0</v>
      </c>
    </row>
    <row r="18" spans="2:15" ht="15" x14ac:dyDescent="0.35">
      <c r="B18" s="35" t="s">
        <v>237</v>
      </c>
      <c r="C18" s="36">
        <f>INDEX(_data_calc!$B$92:$N$111,MATCH($B18,_data_calc!$A$92:$A$111,0),MATCH(C$5,_data_calc!$B$91:$N$91,0))</f>
        <v>1</v>
      </c>
      <c r="D18" s="36">
        <f>INDEX(_data_calc!$B$92:$N$111,MATCH($B18,_data_calc!$A$92:$A$111,0),MATCH(D$5,_data_calc!$B$91:$N$91,0))</f>
        <v>3.3615901783104361E-3</v>
      </c>
      <c r="E18" s="36">
        <f>INDEX(_data_calc!$B$92:$N$111,MATCH($B18,_data_calc!$A$92:$A$111,0),MATCH(E$5,_data_calc!$B$91:$N$91,0))</f>
        <v>3.6539023677287339E-3</v>
      </c>
      <c r="F18" s="36">
        <f>INDEX(_data_calc!$B$92:$N$111,MATCH($B18,_data_calc!$A$92:$A$111,0),MATCH(F$5,_data_calc!$B$91:$N$91,0))</f>
        <v>2.9231218941829871E-3</v>
      </c>
      <c r="G18" s="36">
        <f>INDEX(_data_calc!$B$92:$N$111,MATCH($B18,_data_calc!$A$92:$A$111,0),MATCH(G$5,_data_calc!$B$91:$N$91,0))</f>
        <v>2.9231218941829871E-3</v>
      </c>
      <c r="H18" s="36">
        <f>INDEX(_data_calc!$B$92:$N$111,MATCH($B18,_data_calc!$A$92:$A$111,0),MATCH(H$5,_data_calc!$B$91:$N$91,0))</f>
        <v>1.6077170418006431E-3</v>
      </c>
      <c r="I18" s="36">
        <f>INDEX(_data_calc!$B$92:$N$111,MATCH($B18,_data_calc!$A$92:$A$111,0),MATCH(I$5,_data_calc!$B$91:$N$91,0))</f>
        <v>1.7538731365097919E-3</v>
      </c>
      <c r="J18" s="36">
        <f>INDEX(_data_calc!$B$92:$N$111,MATCH($B18,_data_calc!$A$92:$A$111,0),MATCH(J$5,_data_calc!$B$91:$N$91,0))</f>
        <v>2.3384975153463898E-3</v>
      </c>
      <c r="K18" s="36">
        <f>INDEX(_data_calc!$B$92:$N$111,MATCH($B18,_data_calc!$A$92:$A$111,0),MATCH(K$5,_data_calc!$B$91:$N$91,0))</f>
        <v>0</v>
      </c>
      <c r="L18" s="36">
        <f>INDEX(_data_calc!$B$92:$N$111,MATCH($B18,_data_calc!$A$92:$A$111,0),MATCH(L$5,_data_calc!$B$91:$N$91,0))</f>
        <v>0</v>
      </c>
      <c r="M18" s="36">
        <f>INDEX(_data_calc!$B$92:$N$111,MATCH($B18,_data_calc!$A$92:$A$111,0),MATCH(M$5,_data_calc!$B$91:$N$91,0))</f>
        <v>0</v>
      </c>
      <c r="N18" s="36">
        <f>INDEX(_data_calc!$B$92:$N$111,MATCH($B18,_data_calc!$A$92:$A$111,0),MATCH(N$5,_data_calc!$B$91:$N$91,0))</f>
        <v>0</v>
      </c>
      <c r="O18" s="36">
        <f>INDEX(_data_calc!$B$92:$N$111,MATCH($B18,_data_calc!$A$92:$A$111,0),MATCH(O$5,_data_calc!$B$91:$N$91,0))</f>
        <v>0</v>
      </c>
    </row>
    <row r="19" spans="2:15" ht="15" x14ac:dyDescent="0.35">
      <c r="B19" s="35" t="s">
        <v>238</v>
      </c>
      <c r="C19" s="36">
        <f>INDEX(_data_calc!$B$92:$N$111,MATCH($B19,_data_calc!$A$92:$A$111,0),MATCH(C$5,_data_calc!$B$91:$N$91,0))</f>
        <v>1</v>
      </c>
      <c r="D19" s="36">
        <f>INDEX(_data_calc!$B$92:$N$111,MATCH($B19,_data_calc!$A$92:$A$111,0),MATCH(D$5,_data_calc!$B$91:$N$91,0))</f>
        <v>3.4987277353689568E-3</v>
      </c>
      <c r="E19" s="36">
        <f>INDEX(_data_calc!$B$92:$N$111,MATCH($B19,_data_calc!$A$92:$A$111,0),MATCH(E$5,_data_calc!$B$91:$N$91,0))</f>
        <v>3.9758269720101781E-3</v>
      </c>
      <c r="F19" s="36">
        <f>INDEX(_data_calc!$B$92:$N$111,MATCH($B19,_data_calc!$A$92:$A$111,0),MATCH(F$5,_data_calc!$B$91:$N$91,0))</f>
        <v>3.0216284987277351E-3</v>
      </c>
      <c r="G19" s="36">
        <f>INDEX(_data_calc!$B$92:$N$111,MATCH($B19,_data_calc!$A$92:$A$111,0),MATCH(G$5,_data_calc!$B$91:$N$91,0))</f>
        <v>2.5445292620865142E-3</v>
      </c>
      <c r="H19" s="36">
        <f>INDEX(_data_calc!$B$92:$N$111,MATCH($B19,_data_calc!$A$92:$A$111,0),MATCH(H$5,_data_calc!$B$91:$N$91,0))</f>
        <v>2.2264631043257001E-3</v>
      </c>
      <c r="I19" s="36">
        <f>INDEX(_data_calc!$B$92:$N$111,MATCH($B19,_data_calc!$A$92:$A$111,0),MATCH(I$5,_data_calc!$B$91:$N$91,0))</f>
        <v>2.067430025445292E-3</v>
      </c>
      <c r="J19" s="36">
        <f>INDEX(_data_calc!$B$92:$N$111,MATCH($B19,_data_calc!$A$92:$A$111,0),MATCH(J$5,_data_calc!$B$91:$N$91,0))</f>
        <v>0</v>
      </c>
      <c r="K19" s="36">
        <f>INDEX(_data_calc!$B$92:$N$111,MATCH($B19,_data_calc!$A$92:$A$111,0),MATCH(K$5,_data_calc!$B$91:$N$91,0))</f>
        <v>0</v>
      </c>
      <c r="L19" s="36">
        <f>INDEX(_data_calc!$B$92:$N$111,MATCH($B19,_data_calc!$A$92:$A$111,0),MATCH(L$5,_data_calc!$B$91:$N$91,0))</f>
        <v>0</v>
      </c>
      <c r="M19" s="36">
        <f>INDEX(_data_calc!$B$92:$N$111,MATCH($B19,_data_calc!$A$92:$A$111,0),MATCH(M$5,_data_calc!$B$91:$N$91,0))</f>
        <v>0</v>
      </c>
      <c r="N19" s="36">
        <f>INDEX(_data_calc!$B$92:$N$111,MATCH($B19,_data_calc!$A$92:$A$111,0),MATCH(N$5,_data_calc!$B$91:$N$91,0))</f>
        <v>0</v>
      </c>
      <c r="O19" s="36">
        <f>INDEX(_data_calc!$B$92:$N$111,MATCH($B19,_data_calc!$A$92:$A$111,0),MATCH(O$5,_data_calc!$B$91:$N$91,0))</f>
        <v>0</v>
      </c>
    </row>
    <row r="20" spans="2:15" ht="15" x14ac:dyDescent="0.35">
      <c r="B20" s="35" t="s">
        <v>239</v>
      </c>
      <c r="C20" s="36">
        <f>INDEX(_data_calc!$B$92:$N$111,MATCH($B20,_data_calc!$A$92:$A$111,0),MATCH(C$5,_data_calc!$B$91:$N$91,0))</f>
        <v>1</v>
      </c>
      <c r="D20" s="36">
        <f>INDEX(_data_calc!$B$92:$N$111,MATCH($B20,_data_calc!$A$92:$A$111,0),MATCH(D$5,_data_calc!$B$91:$N$91,0))</f>
        <v>3.9858281665190436E-3</v>
      </c>
      <c r="E20" s="36">
        <f>INDEX(_data_calc!$B$92:$N$111,MATCH($B20,_data_calc!$A$92:$A$111,0),MATCH(E$5,_data_calc!$B$91:$N$91,0))</f>
        <v>2.9524653085326248E-3</v>
      </c>
      <c r="F20" s="36">
        <f>INDEX(_data_calc!$B$92:$N$111,MATCH($B20,_data_calc!$A$92:$A$111,0),MATCH(F$5,_data_calc!$B$91:$N$91,0))</f>
        <v>2.9524653085326248E-3</v>
      </c>
      <c r="G20" s="36">
        <f>INDEX(_data_calc!$B$92:$N$111,MATCH($B20,_data_calc!$A$92:$A$111,0),MATCH(G$5,_data_calc!$B$91:$N$91,0))</f>
        <v>1.1809861234130499E-3</v>
      </c>
      <c r="H20" s="36">
        <f>INDEX(_data_calc!$B$92:$N$111,MATCH($B20,_data_calc!$A$92:$A$111,0),MATCH(H$5,_data_calc!$B$91:$N$91,0))</f>
        <v>1.1809861234130499E-3</v>
      </c>
      <c r="I20" s="36">
        <f>INDEX(_data_calc!$B$92:$N$111,MATCH($B20,_data_calc!$A$92:$A$111,0),MATCH(I$5,_data_calc!$B$91:$N$91,0))</f>
        <v>0</v>
      </c>
      <c r="J20" s="36">
        <f>INDEX(_data_calc!$B$92:$N$111,MATCH($B20,_data_calc!$A$92:$A$111,0),MATCH(J$5,_data_calc!$B$91:$N$91,0))</f>
        <v>0</v>
      </c>
      <c r="K20" s="36">
        <f>INDEX(_data_calc!$B$92:$N$111,MATCH($B20,_data_calc!$A$92:$A$111,0),MATCH(K$5,_data_calc!$B$91:$N$91,0))</f>
        <v>0</v>
      </c>
      <c r="L20" s="36">
        <f>INDEX(_data_calc!$B$92:$N$111,MATCH($B20,_data_calc!$A$92:$A$111,0),MATCH(L$5,_data_calc!$B$91:$N$91,0))</f>
        <v>0</v>
      </c>
      <c r="M20" s="36">
        <f>INDEX(_data_calc!$B$92:$N$111,MATCH($B20,_data_calc!$A$92:$A$111,0),MATCH(M$5,_data_calc!$B$91:$N$91,0))</f>
        <v>0</v>
      </c>
      <c r="N20" s="36">
        <f>INDEX(_data_calc!$B$92:$N$111,MATCH($B20,_data_calc!$A$92:$A$111,0),MATCH(N$5,_data_calc!$B$91:$N$91,0))</f>
        <v>0</v>
      </c>
      <c r="O20" s="36">
        <f>INDEX(_data_calc!$B$92:$N$111,MATCH($B20,_data_calc!$A$92:$A$111,0),MATCH(O$5,_data_calc!$B$91:$N$91,0))</f>
        <v>0</v>
      </c>
    </row>
    <row r="21" spans="2:15" ht="15" x14ac:dyDescent="0.35">
      <c r="B21" s="35" t="s">
        <v>240</v>
      </c>
      <c r="C21" s="36">
        <f>INDEX(_data_calc!$B$92:$N$111,MATCH($B21,_data_calc!$A$92:$A$111,0),MATCH(C$5,_data_calc!$B$91:$N$91,0))</f>
        <v>1</v>
      </c>
      <c r="D21" s="36">
        <f>INDEX(_data_calc!$B$92:$N$111,MATCH($B21,_data_calc!$A$92:$A$111,0),MATCH(D$5,_data_calc!$B$91:$N$91,0))</f>
        <v>5.9252506836827709E-3</v>
      </c>
      <c r="E21" s="36">
        <f>INDEX(_data_calc!$B$92:$N$111,MATCH($B21,_data_calc!$A$92:$A$111,0),MATCH(E$5,_data_calc!$B$91:$N$91,0))</f>
        <v>3.038590094196293E-3</v>
      </c>
      <c r="F21" s="36">
        <f>INDEX(_data_calc!$B$92:$N$111,MATCH($B21,_data_calc!$A$92:$A$111,0),MATCH(F$5,_data_calc!$B$91:$N$91,0))</f>
        <v>2.4308720753570341E-3</v>
      </c>
      <c r="G21" s="36">
        <f>INDEX(_data_calc!$B$92:$N$111,MATCH($B21,_data_calc!$A$92:$A$111,0),MATCH(G$5,_data_calc!$B$91:$N$91,0))</f>
        <v>1.3673655423883321E-3</v>
      </c>
      <c r="H21" s="36">
        <f>INDEX(_data_calc!$B$92:$N$111,MATCH($B21,_data_calc!$A$92:$A$111,0),MATCH(H$5,_data_calc!$B$91:$N$91,0))</f>
        <v>0</v>
      </c>
      <c r="I21" s="36">
        <f>INDEX(_data_calc!$B$92:$N$111,MATCH($B21,_data_calc!$A$92:$A$111,0),MATCH(I$5,_data_calc!$B$91:$N$91,0))</f>
        <v>0</v>
      </c>
      <c r="J21" s="36">
        <f>INDEX(_data_calc!$B$92:$N$111,MATCH($B21,_data_calc!$A$92:$A$111,0),MATCH(J$5,_data_calc!$B$91:$N$91,0))</f>
        <v>0</v>
      </c>
      <c r="K21" s="36">
        <f>INDEX(_data_calc!$B$92:$N$111,MATCH($B21,_data_calc!$A$92:$A$111,0),MATCH(K$5,_data_calc!$B$91:$N$91,0))</f>
        <v>0</v>
      </c>
      <c r="L21" s="36">
        <f>INDEX(_data_calc!$B$92:$N$111,MATCH($B21,_data_calc!$A$92:$A$111,0),MATCH(L$5,_data_calc!$B$91:$N$91,0))</f>
        <v>0</v>
      </c>
      <c r="M21" s="36">
        <f>INDEX(_data_calc!$B$92:$N$111,MATCH($B21,_data_calc!$A$92:$A$111,0),MATCH(M$5,_data_calc!$B$91:$N$91,0))</f>
        <v>0</v>
      </c>
      <c r="N21" s="36">
        <f>INDEX(_data_calc!$B$92:$N$111,MATCH($B21,_data_calc!$A$92:$A$111,0),MATCH(N$5,_data_calc!$B$91:$N$91,0))</f>
        <v>0</v>
      </c>
      <c r="O21" s="36">
        <f>INDEX(_data_calc!$B$92:$N$111,MATCH($B21,_data_calc!$A$92:$A$111,0),MATCH(O$5,_data_calc!$B$91:$N$91,0))</f>
        <v>0</v>
      </c>
    </row>
    <row r="22" spans="2:15" ht="15" x14ac:dyDescent="0.35">
      <c r="B22" s="35" t="s">
        <v>241</v>
      </c>
      <c r="C22" s="36">
        <f>INDEX(_data_calc!$B$92:$N$111,MATCH($B22,_data_calc!$A$92:$A$111,0),MATCH(C$5,_data_calc!$B$91:$N$91,0))</f>
        <v>1</v>
      </c>
      <c r="D22" s="36">
        <f>INDEX(_data_calc!$B$92:$N$111,MATCH($B22,_data_calc!$A$92:$A$111,0),MATCH(D$5,_data_calc!$B$91:$N$91,0))</f>
        <v>5.2259452812788197E-3</v>
      </c>
      <c r="E22" s="36">
        <f>INDEX(_data_calc!$B$92:$N$111,MATCH($B22,_data_calc!$A$92:$A$111,0),MATCH(E$5,_data_calc!$B$91:$N$91,0))</f>
        <v>2.6129726406394099E-3</v>
      </c>
      <c r="F22" s="36">
        <f>INDEX(_data_calc!$B$92:$N$111,MATCH($B22,_data_calc!$A$92:$A$111,0),MATCH(F$5,_data_calc!$B$91:$N$91,0))</f>
        <v>1.8444512757454659E-3</v>
      </c>
      <c r="G22" s="36">
        <f>INDEX(_data_calc!$B$92:$N$111,MATCH($B22,_data_calc!$A$92:$A$111,0),MATCH(G$5,_data_calc!$B$91:$N$91,0))</f>
        <v>0</v>
      </c>
      <c r="H22" s="36">
        <f>INDEX(_data_calc!$B$92:$N$111,MATCH($B22,_data_calc!$A$92:$A$111,0),MATCH(H$5,_data_calc!$B$91:$N$91,0))</f>
        <v>0</v>
      </c>
      <c r="I22" s="36">
        <f>INDEX(_data_calc!$B$92:$N$111,MATCH($B22,_data_calc!$A$92:$A$111,0),MATCH(I$5,_data_calc!$B$91:$N$91,0))</f>
        <v>0</v>
      </c>
      <c r="J22" s="36">
        <f>INDEX(_data_calc!$B$92:$N$111,MATCH($B22,_data_calc!$A$92:$A$111,0),MATCH(J$5,_data_calc!$B$91:$N$91,0))</f>
        <v>0</v>
      </c>
      <c r="K22" s="36">
        <f>INDEX(_data_calc!$B$92:$N$111,MATCH($B22,_data_calc!$A$92:$A$111,0),MATCH(K$5,_data_calc!$B$91:$N$91,0))</f>
        <v>0</v>
      </c>
      <c r="L22" s="36">
        <f>INDEX(_data_calc!$B$92:$N$111,MATCH($B22,_data_calc!$A$92:$A$111,0),MATCH(L$5,_data_calc!$B$91:$N$91,0))</f>
        <v>0</v>
      </c>
      <c r="M22" s="36">
        <f>INDEX(_data_calc!$B$92:$N$111,MATCH($B22,_data_calc!$A$92:$A$111,0),MATCH(M$5,_data_calc!$B$91:$N$91,0))</f>
        <v>0</v>
      </c>
      <c r="N22" s="36">
        <f>INDEX(_data_calc!$B$92:$N$111,MATCH($B22,_data_calc!$A$92:$A$111,0),MATCH(N$5,_data_calc!$B$91:$N$91,0))</f>
        <v>0</v>
      </c>
      <c r="O22" s="36">
        <f>INDEX(_data_calc!$B$92:$N$111,MATCH($B22,_data_calc!$A$92:$A$111,0),MATCH(O$5,_data_calc!$B$91:$N$91,0))</f>
        <v>0</v>
      </c>
    </row>
    <row r="23" spans="2:15" ht="15" x14ac:dyDescent="0.35">
      <c r="B23" s="35" t="s">
        <v>242</v>
      </c>
      <c r="C23" s="36">
        <f>INDEX(_data_calc!$B$92:$N$111,MATCH($B23,_data_calc!$A$92:$A$111,0),MATCH(C$5,_data_calc!$B$91:$N$91,0))</f>
        <v>1</v>
      </c>
      <c r="D23" s="36">
        <f>INDEX(_data_calc!$B$92:$N$111,MATCH($B23,_data_calc!$A$92:$A$111,0),MATCH(D$5,_data_calc!$B$91:$N$91,0))</f>
        <v>4.2531473290234774E-3</v>
      </c>
      <c r="E23" s="36">
        <f>INDEX(_data_calc!$B$92:$N$111,MATCH($B23,_data_calc!$A$92:$A$111,0),MATCH(E$5,_data_calc!$B$91:$N$91,0))</f>
        <v>2.722014290575025E-3</v>
      </c>
      <c r="F23" s="36">
        <f>INDEX(_data_calc!$B$92:$N$111,MATCH($B23,_data_calc!$A$92:$A$111,0),MATCH(F$5,_data_calc!$B$91:$N$91,0))</f>
        <v>0</v>
      </c>
      <c r="G23" s="36">
        <f>INDEX(_data_calc!$B$92:$N$111,MATCH($B23,_data_calc!$A$92:$A$111,0),MATCH(G$5,_data_calc!$B$91:$N$91,0))</f>
        <v>0</v>
      </c>
      <c r="H23" s="36">
        <f>INDEX(_data_calc!$B$92:$N$111,MATCH($B23,_data_calc!$A$92:$A$111,0),MATCH(H$5,_data_calc!$B$91:$N$91,0))</f>
        <v>0</v>
      </c>
      <c r="I23" s="36">
        <f>INDEX(_data_calc!$B$92:$N$111,MATCH($B23,_data_calc!$A$92:$A$111,0),MATCH(I$5,_data_calc!$B$91:$N$91,0))</f>
        <v>0</v>
      </c>
      <c r="J23" s="36">
        <f>INDEX(_data_calc!$B$92:$N$111,MATCH($B23,_data_calc!$A$92:$A$111,0),MATCH(J$5,_data_calc!$B$91:$N$91,0))</f>
        <v>0</v>
      </c>
      <c r="K23" s="36">
        <f>INDEX(_data_calc!$B$92:$N$111,MATCH($B23,_data_calc!$A$92:$A$111,0),MATCH(K$5,_data_calc!$B$91:$N$91,0))</f>
        <v>0</v>
      </c>
      <c r="L23" s="36">
        <f>INDEX(_data_calc!$B$92:$N$111,MATCH($B23,_data_calc!$A$92:$A$111,0),MATCH(L$5,_data_calc!$B$91:$N$91,0))</f>
        <v>0</v>
      </c>
      <c r="M23" s="36">
        <f>INDEX(_data_calc!$B$92:$N$111,MATCH($B23,_data_calc!$A$92:$A$111,0),MATCH(M$5,_data_calc!$B$91:$N$91,0))</f>
        <v>0</v>
      </c>
      <c r="N23" s="36">
        <f>INDEX(_data_calc!$B$92:$N$111,MATCH($B23,_data_calc!$A$92:$A$111,0),MATCH(N$5,_data_calc!$B$91:$N$91,0))</f>
        <v>0</v>
      </c>
      <c r="O23" s="36">
        <f>INDEX(_data_calc!$B$92:$N$111,MATCH($B23,_data_calc!$A$92:$A$111,0),MATCH(O$5,_data_calc!$B$91:$N$91,0))</f>
        <v>0</v>
      </c>
    </row>
    <row r="24" spans="2:15" ht="15" x14ac:dyDescent="0.35">
      <c r="B24" s="35" t="s">
        <v>243</v>
      </c>
      <c r="C24" s="36">
        <f>INDEX(_data_calc!$B$92:$N$111,MATCH($B24,_data_calc!$A$92:$A$111,0),MATCH(C$5,_data_calc!$B$91:$N$91,0))</f>
        <v>1</v>
      </c>
      <c r="D24" s="36">
        <f>INDEX(_data_calc!$B$92:$N$111,MATCH($B24,_data_calc!$A$92:$A$111,0),MATCH(D$5,_data_calc!$B$91:$N$91,0))</f>
        <v>5.2109598251807044E-3</v>
      </c>
      <c r="E24" s="36">
        <f>INDEX(_data_calc!$B$92:$N$111,MATCH($B24,_data_calc!$A$92:$A$111,0),MATCH(E$5,_data_calc!$B$91:$N$91,0))</f>
        <v>0</v>
      </c>
      <c r="F24" s="36">
        <f>INDEX(_data_calc!$B$92:$N$111,MATCH($B24,_data_calc!$A$92:$A$111,0),MATCH(F$5,_data_calc!$B$91:$N$91,0))</f>
        <v>0</v>
      </c>
      <c r="G24" s="36">
        <f>INDEX(_data_calc!$B$92:$N$111,MATCH($B24,_data_calc!$A$92:$A$111,0),MATCH(G$5,_data_calc!$B$91:$N$91,0))</f>
        <v>0</v>
      </c>
      <c r="H24" s="36">
        <f>INDEX(_data_calc!$B$92:$N$111,MATCH($B24,_data_calc!$A$92:$A$111,0),MATCH(H$5,_data_calc!$B$91:$N$91,0))</f>
        <v>0</v>
      </c>
      <c r="I24" s="36">
        <f>INDEX(_data_calc!$B$92:$N$111,MATCH($B24,_data_calc!$A$92:$A$111,0),MATCH(I$5,_data_calc!$B$91:$N$91,0))</f>
        <v>0</v>
      </c>
      <c r="J24" s="36">
        <f>INDEX(_data_calc!$B$92:$N$111,MATCH($B24,_data_calc!$A$92:$A$111,0),MATCH(J$5,_data_calc!$B$91:$N$91,0))</f>
        <v>0</v>
      </c>
      <c r="K24" s="36">
        <f>INDEX(_data_calc!$B$92:$N$111,MATCH($B24,_data_calc!$A$92:$A$111,0),MATCH(K$5,_data_calc!$B$91:$N$91,0))</f>
        <v>0</v>
      </c>
      <c r="L24" s="36">
        <f>INDEX(_data_calc!$B$92:$N$111,MATCH($B24,_data_calc!$A$92:$A$111,0),MATCH(L$5,_data_calc!$B$91:$N$91,0))</f>
        <v>0</v>
      </c>
      <c r="M24" s="36">
        <f>INDEX(_data_calc!$B$92:$N$111,MATCH($B24,_data_calc!$A$92:$A$111,0),MATCH(M$5,_data_calc!$B$91:$N$91,0))</f>
        <v>0</v>
      </c>
      <c r="N24" s="36">
        <f>INDEX(_data_calc!$B$92:$N$111,MATCH($B24,_data_calc!$A$92:$A$111,0),MATCH(N$5,_data_calc!$B$91:$N$91,0))</f>
        <v>0</v>
      </c>
      <c r="O24" s="36">
        <f>INDEX(_data_calc!$B$92:$N$111,MATCH($B24,_data_calc!$A$92:$A$111,0),MATCH(O$5,_data_calc!$B$91:$N$91,0))</f>
        <v>0</v>
      </c>
    </row>
    <row r="25" spans="2:15" ht="15" x14ac:dyDescent="0.35">
      <c r="B25" s="35" t="s">
        <v>244</v>
      </c>
      <c r="C25" s="36">
        <f>INDEX(_data_calc!$B$92:$N$111,MATCH($B25,_data_calc!$A$92:$A$111,0),MATCH(C$5,_data_calc!$B$91:$N$91,0))</f>
        <v>1</v>
      </c>
      <c r="D25" s="36">
        <f>INDEX(_data_calc!$B$92:$N$111,MATCH($B25,_data_calc!$A$92:$A$111,0),MATCH(D$5,_data_calc!$B$91:$N$91,0))</f>
        <v>0</v>
      </c>
      <c r="E25" s="36">
        <f>INDEX(_data_calc!$B$92:$N$111,MATCH($B25,_data_calc!$A$92:$A$111,0),MATCH(E$5,_data_calc!$B$91:$N$91,0))</f>
        <v>0</v>
      </c>
      <c r="F25" s="36">
        <f>INDEX(_data_calc!$B$92:$N$111,MATCH($B25,_data_calc!$A$92:$A$111,0),MATCH(F$5,_data_calc!$B$91:$N$91,0))</f>
        <v>0</v>
      </c>
      <c r="G25" s="36">
        <f>INDEX(_data_calc!$B$92:$N$111,MATCH($B25,_data_calc!$A$92:$A$111,0),MATCH(G$5,_data_calc!$B$91:$N$91,0))</f>
        <v>0</v>
      </c>
      <c r="H25" s="36">
        <f>INDEX(_data_calc!$B$92:$N$111,MATCH($B25,_data_calc!$A$92:$A$111,0),MATCH(H$5,_data_calc!$B$91:$N$91,0))</f>
        <v>0</v>
      </c>
      <c r="I25" s="36">
        <f>INDEX(_data_calc!$B$92:$N$111,MATCH($B25,_data_calc!$A$92:$A$111,0),MATCH(I$5,_data_calc!$B$91:$N$91,0))</f>
        <v>0</v>
      </c>
      <c r="J25" s="36">
        <f>INDEX(_data_calc!$B$92:$N$111,MATCH($B25,_data_calc!$A$92:$A$111,0),MATCH(J$5,_data_calc!$B$91:$N$91,0))</f>
        <v>0</v>
      </c>
      <c r="K25" s="36">
        <f>INDEX(_data_calc!$B$92:$N$111,MATCH($B25,_data_calc!$A$92:$A$111,0),MATCH(K$5,_data_calc!$B$91:$N$91,0))</f>
        <v>0</v>
      </c>
      <c r="L25" s="36">
        <f>INDEX(_data_calc!$B$92:$N$111,MATCH($B25,_data_calc!$A$92:$A$111,0),MATCH(L$5,_data_calc!$B$91:$N$91,0))</f>
        <v>0</v>
      </c>
      <c r="M25" s="36">
        <f>INDEX(_data_calc!$B$92:$N$111,MATCH($B25,_data_calc!$A$92:$A$111,0),MATCH(M$5,_data_calc!$B$91:$N$91,0))</f>
        <v>0</v>
      </c>
      <c r="N25" s="36">
        <f>INDEX(_data_calc!$B$92:$N$111,MATCH($B25,_data_calc!$A$92:$A$111,0),MATCH(N$5,_data_calc!$B$91:$N$91,0))</f>
        <v>0</v>
      </c>
      <c r="O25" s="36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0" t="s">
        <v>282</v>
      </c>
      <c r="C2" s="2"/>
      <c r="D2" s="2"/>
      <c r="E2" s="2"/>
      <c r="F2" s="2"/>
      <c r="G2" s="2"/>
    </row>
    <row r="3" spans="2:7" x14ac:dyDescent="0.3">
      <c r="B3" s="21" t="s">
        <v>283</v>
      </c>
      <c r="C3" s="2"/>
      <c r="D3" s="2"/>
      <c r="E3" s="2"/>
      <c r="F3" s="2"/>
      <c r="G3" s="2"/>
    </row>
    <row r="5" spans="2:7" ht="17" x14ac:dyDescent="0.4">
      <c r="B5" s="6" t="s">
        <v>284</v>
      </c>
    </row>
    <row r="6" spans="2:7" x14ac:dyDescent="0.3">
      <c r="B6" s="10" t="s">
        <v>285</v>
      </c>
      <c r="C6" s="10" t="s">
        <v>193</v>
      </c>
      <c r="D6" s="10" t="s">
        <v>286</v>
      </c>
      <c r="E6" s="10" t="s">
        <v>287</v>
      </c>
    </row>
    <row r="7" spans="2:7" ht="15.5" x14ac:dyDescent="0.35">
      <c r="B7" s="17" t="s">
        <v>288</v>
      </c>
      <c r="C7" s="37">
        <f>_xlfn.XLOOKUP("At Risk",_data_calc!$A$54:$A$59,_data_calc!$B$54:$B$59,0)</f>
        <v>21975</v>
      </c>
      <c r="D7" s="38" t="s">
        <v>289</v>
      </c>
      <c r="E7" s="38" t="s">
        <v>290</v>
      </c>
    </row>
    <row r="8" spans="2:7" ht="15.5" x14ac:dyDescent="0.35">
      <c r="B8" s="17" t="s">
        <v>291</v>
      </c>
      <c r="C8" s="39">
        <f>_xlfn.XLOOKUP("At Risk",_data_calc!$A$54:$A$59,_data_calc!$F$54:$F$59,0)</f>
        <v>213.4</v>
      </c>
      <c r="D8" s="38" t="s">
        <v>292</v>
      </c>
      <c r="E8" s="38" t="s">
        <v>290</v>
      </c>
    </row>
    <row r="9" spans="2:7" ht="15.5" x14ac:dyDescent="0.35">
      <c r="B9" s="17" t="s">
        <v>293</v>
      </c>
      <c r="C9" s="40">
        <v>0.5</v>
      </c>
      <c r="D9" s="38" t="s">
        <v>294</v>
      </c>
      <c r="E9" s="38" t="s">
        <v>295</v>
      </c>
    </row>
    <row r="10" spans="2:7" ht="15.5" x14ac:dyDescent="0.35">
      <c r="B10" s="17" t="s">
        <v>296</v>
      </c>
      <c r="C10" s="37">
        <v>50000</v>
      </c>
      <c r="D10" s="38" t="s">
        <v>289</v>
      </c>
      <c r="E10" s="38" t="s">
        <v>297</v>
      </c>
    </row>
    <row r="13" spans="2:7" ht="17" x14ac:dyDescent="0.4">
      <c r="B13" s="6" t="s">
        <v>298</v>
      </c>
    </row>
    <row r="14" spans="2:7" x14ac:dyDescent="0.3">
      <c r="B14" s="10" t="s">
        <v>192</v>
      </c>
      <c r="C14" s="10" t="s">
        <v>299</v>
      </c>
      <c r="D14" s="10" t="s">
        <v>300</v>
      </c>
      <c r="E14" s="10" t="s">
        <v>301</v>
      </c>
      <c r="F14" s="10" t="s">
        <v>302</v>
      </c>
    </row>
    <row r="15" spans="2:7" ht="15" x14ac:dyDescent="0.35">
      <c r="B15" s="17" t="s">
        <v>303</v>
      </c>
      <c r="C15" s="41">
        <v>0.05</v>
      </c>
      <c r="D15" s="41">
        <v>0.1</v>
      </c>
      <c r="E15" s="41">
        <v>0.2</v>
      </c>
      <c r="F15" s="42">
        <v>0.1</v>
      </c>
    </row>
    <row r="16" spans="2:7" ht="15" x14ac:dyDescent="0.35">
      <c r="B16" s="17" t="s">
        <v>304</v>
      </c>
      <c r="C16" s="30">
        <f>At_Risk_Count*C15</f>
        <v>1098.75</v>
      </c>
      <c r="D16" s="30">
        <f>At_Risk_Count*D15</f>
        <v>2197.5</v>
      </c>
      <c r="E16" s="30">
        <f>At_Risk_Count*E15</f>
        <v>4395</v>
      </c>
      <c r="F16" s="30">
        <f>At_Risk_Count*F15</f>
        <v>2197.5</v>
      </c>
    </row>
    <row r="17" spans="2:6" ht="15" x14ac:dyDescent="0.35">
      <c r="B17" s="17" t="s">
        <v>305</v>
      </c>
      <c r="C17" s="30">
        <f>At_Risk_Count*C15*ARPU*Repeat_Spend</f>
        <v>117236.625</v>
      </c>
      <c r="D17" s="30">
        <f>At_Risk_Count*D15*ARPU*Repeat_Spend</f>
        <v>234473.25</v>
      </c>
      <c r="E17" s="30">
        <f>At_Risk_Count*E15*ARPU*Repeat_Spend</f>
        <v>468946.5</v>
      </c>
      <c r="F17" s="30">
        <f>At_Risk_Count*F15*ARPU*Repeat_Spend</f>
        <v>234473.25</v>
      </c>
    </row>
    <row r="18" spans="2:6" ht="15" x14ac:dyDescent="0.35">
      <c r="B18" s="17" t="s">
        <v>306</v>
      </c>
      <c r="C18" s="30">
        <f>CRM_Cost</f>
        <v>50000</v>
      </c>
      <c r="D18" s="30">
        <f>CRM_Cost</f>
        <v>50000</v>
      </c>
      <c r="E18" s="30">
        <f>CRM_Cost</f>
        <v>50000</v>
      </c>
      <c r="F18" s="30">
        <f>CRM_Cost</f>
        <v>50000</v>
      </c>
    </row>
    <row r="19" spans="2:6" ht="15" x14ac:dyDescent="0.35">
      <c r="B19" s="17" t="s">
        <v>307</v>
      </c>
      <c r="C19" s="43">
        <f>C17-C18</f>
        <v>67236.625</v>
      </c>
      <c r="D19" s="43">
        <f>D17-D18</f>
        <v>184473.25</v>
      </c>
      <c r="E19" s="43">
        <f>E17-E18</f>
        <v>418946.5</v>
      </c>
      <c r="F19" s="43">
        <f>F17-F18</f>
        <v>184473.25</v>
      </c>
    </row>
    <row r="20" spans="2:6" ht="18.5" x14ac:dyDescent="0.35">
      <c r="B20" s="44" t="s">
        <v>308</v>
      </c>
      <c r="C20" s="45">
        <f>C17/C18</f>
        <v>2.3447325000000001</v>
      </c>
      <c r="D20" s="45">
        <f>D17/D18</f>
        <v>4.6894650000000002</v>
      </c>
      <c r="E20" s="45">
        <f>E17/E18</f>
        <v>9.3789300000000004</v>
      </c>
      <c r="F20" s="45">
        <f>F17/F18</f>
        <v>4.6894650000000002</v>
      </c>
    </row>
    <row r="22" spans="2:6" ht="17" x14ac:dyDescent="0.4">
      <c r="B22" s="6" t="s">
        <v>309</v>
      </c>
    </row>
    <row r="23" spans="2:6" ht="15" x14ac:dyDescent="0.35">
      <c r="B23" s="46" t="s">
        <v>310</v>
      </c>
    </row>
    <row r="24" spans="2:6" ht="15" x14ac:dyDescent="0.35">
      <c r="B24" s="46" t="s">
        <v>311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0" t="s">
        <v>312</v>
      </c>
      <c r="C2" s="2"/>
      <c r="D2" s="2"/>
      <c r="E2" s="2"/>
      <c r="F2" s="2"/>
    </row>
    <row r="3" spans="2:6" x14ac:dyDescent="0.3">
      <c r="B3" s="21" t="s">
        <v>313</v>
      </c>
      <c r="C3" s="2"/>
      <c r="D3" s="2"/>
      <c r="E3" s="2"/>
      <c r="F3" s="2"/>
    </row>
    <row r="5" spans="2:6" x14ac:dyDescent="0.3">
      <c r="B5" s="10" t="s">
        <v>314</v>
      </c>
      <c r="C5" s="10" t="s">
        <v>206</v>
      </c>
      <c r="D5" s="10" t="s">
        <v>315</v>
      </c>
      <c r="E5" s="10" t="s">
        <v>248</v>
      </c>
      <c r="F5" s="10" t="s">
        <v>316</v>
      </c>
    </row>
    <row r="6" spans="2:6" x14ac:dyDescent="0.3">
      <c r="B6" s="31" t="s">
        <v>317</v>
      </c>
      <c r="C6" s="23">
        <f>_xlfn.XLOOKUP(B6,_data_calc!$A$64:$A$68,_data_calc!$B$64:$B$68,0)</f>
        <v>25455</v>
      </c>
      <c r="D6" s="34">
        <f>_xlfn.XLOOKUP(B6,_data_calc!$A$64:$A$68,_data_calc!$C$64:$C$68,0)</f>
        <v>95.87</v>
      </c>
      <c r="E6" s="23">
        <f>_xlfn.XLOOKUP(B6,_data_calc!$A$64:$A$68,_data_calc!$D$64:$D$68,0)</f>
        <v>23931</v>
      </c>
      <c r="F6" s="47">
        <f>_xlfn.XLOOKUP(B6,_data_calc!$A$64:$A$68,_data_calc!$E$64:$E$68,0)</f>
        <v>2.5100000000000001E-2</v>
      </c>
    </row>
    <row r="7" spans="2:6" x14ac:dyDescent="0.3">
      <c r="B7" s="31" t="s">
        <v>318</v>
      </c>
      <c r="C7" s="23">
        <f>_xlfn.XLOOKUP(B7,_data_calc!$A$64:$A$68,_data_calc!$B$64:$B$68,0)</f>
        <v>22874</v>
      </c>
      <c r="D7" s="34">
        <f>_xlfn.XLOOKUP(B7,_data_calc!$A$64:$A$68,_data_calc!$C$64:$C$68,0)</f>
        <v>134.22999999999999</v>
      </c>
      <c r="E7" s="23">
        <f>_xlfn.XLOOKUP(B7,_data_calc!$A$64:$A$68,_data_calc!$D$64:$D$68,0)</f>
        <v>21502</v>
      </c>
      <c r="F7" s="47">
        <f>_xlfn.XLOOKUP(B7,_data_calc!$A$64:$A$68,_data_calc!$E$64:$E$68,0)</f>
        <v>2.81E-2</v>
      </c>
    </row>
    <row r="8" spans="2:6" x14ac:dyDescent="0.3">
      <c r="B8" s="31" t="s">
        <v>319</v>
      </c>
      <c r="C8" s="23">
        <f>_xlfn.XLOOKUP(B8,_data_calc!$A$64:$A$68,_data_calc!$B$64:$B$68,0)</f>
        <v>16257</v>
      </c>
      <c r="D8" s="34">
        <f>_xlfn.XLOOKUP(B8,_data_calc!$A$64:$A$68,_data_calc!$C$64:$C$68,0)</f>
        <v>181.32</v>
      </c>
      <c r="E8" s="23">
        <f>_xlfn.XLOOKUP(B8,_data_calc!$A$64:$A$68,_data_calc!$D$64:$D$68,0)</f>
        <v>15173</v>
      </c>
      <c r="F8" s="47">
        <f>_xlfn.XLOOKUP(B8,_data_calc!$A$64:$A$68,_data_calc!$E$64:$E$68,0)</f>
        <v>3.1800000000000002E-2</v>
      </c>
    </row>
    <row r="9" spans="2:6" x14ac:dyDescent="0.3">
      <c r="B9" s="31" t="s">
        <v>320</v>
      </c>
      <c r="C9" s="23">
        <f>_xlfn.XLOOKUP(B9,_data_calc!$A$64:$A$68,_data_calc!$B$64:$B$68,0)</f>
        <v>11866</v>
      </c>
      <c r="D9" s="34">
        <f>_xlfn.XLOOKUP(B9,_data_calc!$A$64:$A$68,_data_calc!$C$64:$C$68,0)</f>
        <v>333.83</v>
      </c>
      <c r="E9" s="23">
        <f>_xlfn.XLOOKUP(B9,_data_calc!$A$64:$A$68,_data_calc!$D$64:$D$68,0)</f>
        <v>10966</v>
      </c>
      <c r="F9" s="47">
        <f>_xlfn.XLOOKUP(B9,_data_calc!$A$64:$A$68,_data_calc!$E$64:$E$68,0)</f>
        <v>4.1300000000000003E-2</v>
      </c>
    </row>
    <row r="10" spans="2:6" x14ac:dyDescent="0.3">
      <c r="B10" s="31" t="s">
        <v>321</v>
      </c>
      <c r="C10" s="23">
        <f>_xlfn.XLOOKUP(B10,_data_calc!$A$64:$A$68,_data_calc!$B$64:$B$68,0)</f>
        <v>341</v>
      </c>
      <c r="D10" s="34">
        <f>_xlfn.XLOOKUP(B10,_data_calc!$A$64:$A$68,_data_calc!$C$64:$C$68,0)</f>
        <v>358.34</v>
      </c>
      <c r="E10" s="23">
        <f>_xlfn.XLOOKUP(B10,_data_calc!$A$64:$A$68,_data_calc!$D$64:$D$68,0)</f>
        <v>311</v>
      </c>
      <c r="F10" s="47">
        <f>_xlfn.XLOOKUP(B10,_data_calc!$A$64:$A$68,_data_calc!$E$64:$E$68,0)</f>
        <v>4.1799999999999997E-2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0" t="s">
        <v>322</v>
      </c>
      <c r="C2" s="2"/>
      <c r="D2" s="2"/>
      <c r="E2" s="2"/>
    </row>
    <row r="3" spans="2:5" x14ac:dyDescent="0.3">
      <c r="B3" s="21" t="s">
        <v>323</v>
      </c>
      <c r="C3" s="2"/>
      <c r="D3" s="2"/>
      <c r="E3" s="2"/>
    </row>
    <row r="5" spans="2:5" x14ac:dyDescent="0.3">
      <c r="B5" s="10" t="s">
        <v>324</v>
      </c>
      <c r="C5" s="10" t="s">
        <v>325</v>
      </c>
      <c r="D5" s="10" t="s">
        <v>326</v>
      </c>
      <c r="E5" s="10" t="s">
        <v>327</v>
      </c>
    </row>
    <row r="6" spans="2:5" ht="15" x14ac:dyDescent="0.35">
      <c r="B6" s="17" t="s">
        <v>136</v>
      </c>
      <c r="C6" s="33">
        <f>_xlfn.XLOOKUP(B6,_data_calc!$A$73:$A$87,_data_calc!$B$73:$B$87,0)</f>
        <v>8.8000000000000007</v>
      </c>
      <c r="D6" s="33">
        <f>_xlfn.XLOOKUP(B6,_data_calc!$A$73:$A$87,_data_calc!$C$73:$C$87,0)</f>
        <v>19.100000000000001</v>
      </c>
      <c r="E6" s="33">
        <f>_xlfn.XLOOKUP(B6,_data_calc!$A$73:$A$87,_data_calc!$D$73:$D$87,0)</f>
        <v>10.3</v>
      </c>
    </row>
    <row r="7" spans="2:5" ht="15" x14ac:dyDescent="0.35">
      <c r="B7" s="17" t="s">
        <v>328</v>
      </c>
      <c r="C7" s="33">
        <f>_xlfn.XLOOKUP(B7,_data_calc!$A$73:$A$87,_data_calc!$B$73:$B$87,0)</f>
        <v>12</v>
      </c>
      <c r="D7" s="33">
        <f>_xlfn.XLOOKUP(B7,_data_calc!$A$73:$A$87,_data_calc!$C$73:$C$87,0)</f>
        <v>24.5</v>
      </c>
      <c r="E7" s="33">
        <f>_xlfn.XLOOKUP(B7,_data_calc!$A$73:$A$87,_data_calc!$D$73:$D$87,0)</f>
        <v>12.5</v>
      </c>
    </row>
    <row r="8" spans="2:5" ht="15" x14ac:dyDescent="0.35">
      <c r="B8" s="17" t="s">
        <v>329</v>
      </c>
      <c r="C8" s="33">
        <f>_xlfn.XLOOKUP(B8,_data_calc!$A$73:$A$87,_data_calc!$B$73:$B$87,0)</f>
        <v>12</v>
      </c>
      <c r="D8" s="33">
        <f>_xlfn.XLOOKUP(B8,_data_calc!$A$73:$A$87,_data_calc!$C$73:$C$87,0)</f>
        <v>24.6</v>
      </c>
      <c r="E8" s="33">
        <f>_xlfn.XLOOKUP(B8,_data_calc!$A$73:$A$87,_data_calc!$D$73:$D$87,0)</f>
        <v>12.6</v>
      </c>
    </row>
    <row r="9" spans="2:5" ht="15" x14ac:dyDescent="0.35">
      <c r="B9" s="17" t="s">
        <v>330</v>
      </c>
      <c r="C9" s="33">
        <f>_xlfn.XLOOKUP(B9,_data_calc!$A$73:$A$87,_data_calc!$B$73:$B$87,0)</f>
        <v>13</v>
      </c>
      <c r="D9" s="33">
        <f>_xlfn.XLOOKUP(B9,_data_calc!$A$73:$A$87,_data_calc!$C$73:$C$87,0)</f>
        <v>24.3</v>
      </c>
      <c r="E9" s="33">
        <f>_xlfn.XLOOKUP(B9,_data_calc!$A$73:$A$87,_data_calc!$D$73:$D$87,0)</f>
        <v>11.3</v>
      </c>
    </row>
    <row r="10" spans="2:5" ht="15" x14ac:dyDescent="0.35">
      <c r="B10" s="17" t="s">
        <v>331</v>
      </c>
      <c r="C10" s="33">
        <f>_xlfn.XLOOKUP(B10,_data_calc!$A$73:$A$87,_data_calc!$B$73:$B$87,0)</f>
        <v>15</v>
      </c>
      <c r="D10" s="33">
        <f>_xlfn.XLOOKUP(B10,_data_calc!$A$73:$A$87,_data_calc!$C$73:$C$87,0)</f>
        <v>25.8</v>
      </c>
      <c r="E10" s="33">
        <f>_xlfn.XLOOKUP(B10,_data_calc!$A$73:$A$87,_data_calc!$D$73:$D$87,0)</f>
        <v>10.8</v>
      </c>
    </row>
    <row r="11" spans="2:5" ht="15" x14ac:dyDescent="0.35">
      <c r="B11" s="17" t="s">
        <v>332</v>
      </c>
      <c r="C11" s="33">
        <f>_xlfn.XLOOKUP(B11,_data_calc!$A$73:$A$87,_data_calc!$B$73:$B$87,0)</f>
        <v>15.3</v>
      </c>
      <c r="D11" s="33">
        <f>_xlfn.XLOOKUP(B11,_data_calc!$A$73:$A$87,_data_calc!$C$73:$C$87,0)</f>
        <v>26.4</v>
      </c>
      <c r="E11" s="33">
        <f>_xlfn.XLOOKUP(B11,_data_calc!$A$73:$A$87,_data_calc!$D$73:$D$87,0)</f>
        <v>11.1</v>
      </c>
    </row>
    <row r="12" spans="2:5" ht="15" x14ac:dyDescent="0.35">
      <c r="B12" s="17" t="s">
        <v>333</v>
      </c>
      <c r="C12" s="33">
        <f>_xlfn.XLOOKUP(B12,_data_calc!$A$73:$A$87,_data_calc!$B$73:$B$87,0)</f>
        <v>15.3</v>
      </c>
      <c r="D12" s="33">
        <f>_xlfn.XLOOKUP(B12,_data_calc!$A$73:$A$87,_data_calc!$C$73:$C$87,0)</f>
        <v>28.5</v>
      </c>
      <c r="E12" s="33">
        <f>_xlfn.XLOOKUP(B12,_data_calc!$A$73:$A$87,_data_calc!$D$73:$D$87,0)</f>
        <v>13.2</v>
      </c>
    </row>
    <row r="13" spans="2:5" ht="15" x14ac:dyDescent="0.35">
      <c r="B13" s="17" t="s">
        <v>334</v>
      </c>
      <c r="C13" s="33">
        <f>_xlfn.XLOOKUP(B13,_data_calc!$A$73:$A$87,_data_calc!$B$73:$B$87,0)</f>
        <v>15.6</v>
      </c>
      <c r="D13" s="33">
        <f>_xlfn.XLOOKUP(B13,_data_calc!$A$73:$A$87,_data_calc!$C$73:$C$87,0)</f>
        <v>27.1</v>
      </c>
      <c r="E13" s="33">
        <f>_xlfn.XLOOKUP(B13,_data_calc!$A$73:$A$87,_data_calc!$D$73:$D$87,0)</f>
        <v>11.5</v>
      </c>
    </row>
    <row r="14" spans="2:5" ht="15" x14ac:dyDescent="0.35">
      <c r="B14" s="17" t="s">
        <v>335</v>
      </c>
      <c r="C14" s="33">
        <f>_xlfn.XLOOKUP(B14,_data_calc!$A$73:$A$87,_data_calc!$B$73:$B$87,0)</f>
        <v>15.6</v>
      </c>
      <c r="D14" s="33">
        <f>_xlfn.XLOOKUP(B14,_data_calc!$A$73:$A$87,_data_calc!$C$73:$C$87,0)</f>
        <v>26</v>
      </c>
      <c r="E14" s="33">
        <f>_xlfn.XLOOKUP(B14,_data_calc!$A$73:$A$87,_data_calc!$D$73:$D$87,0)</f>
        <v>10.4</v>
      </c>
    </row>
    <row r="15" spans="2:5" ht="15" x14ac:dyDescent="0.35">
      <c r="B15" s="17" t="s">
        <v>336</v>
      </c>
      <c r="C15" s="33">
        <f>_xlfn.XLOOKUP(B15,_data_calc!$A$73:$A$87,_data_calc!$B$73:$B$87,0)</f>
        <v>15.8</v>
      </c>
      <c r="D15" s="33">
        <f>_xlfn.XLOOKUP(B15,_data_calc!$A$73:$A$87,_data_calc!$C$73:$C$87,0)</f>
        <v>25.6</v>
      </c>
      <c r="E15" s="33">
        <f>_xlfn.XLOOKUP(B15,_data_calc!$A$73:$A$87,_data_calc!$D$73:$D$87,0)</f>
        <v>9.8000000000000007</v>
      </c>
    </row>
    <row r="16" spans="2:5" ht="15" x14ac:dyDescent="0.35">
      <c r="B16" s="17" t="s">
        <v>337</v>
      </c>
      <c r="C16" s="33">
        <f>_xlfn.XLOOKUP(B16,_data_calc!$A$73:$A$87,_data_calc!$B$73:$B$87,0)</f>
        <v>17.7</v>
      </c>
      <c r="D16" s="33">
        <f>_xlfn.XLOOKUP(B16,_data_calc!$A$73:$A$87,_data_calc!$C$73:$C$87,0)</f>
        <v>29.1</v>
      </c>
      <c r="E16" s="33">
        <f>_xlfn.XLOOKUP(B16,_data_calc!$A$73:$A$87,_data_calc!$D$73:$D$87,0)</f>
        <v>11.4</v>
      </c>
    </row>
    <row r="17" spans="2:5" ht="15" x14ac:dyDescent="0.35">
      <c r="B17" s="17" t="s">
        <v>338</v>
      </c>
      <c r="C17" s="33">
        <f>_xlfn.XLOOKUP(B17,_data_calc!$A$73:$A$87,_data_calc!$B$73:$B$87,0)</f>
        <v>18.100000000000001</v>
      </c>
      <c r="D17" s="33">
        <f>_xlfn.XLOOKUP(B17,_data_calc!$A$73:$A$87,_data_calc!$C$73:$C$87,0)</f>
        <v>31.7</v>
      </c>
      <c r="E17" s="33">
        <f>_xlfn.XLOOKUP(B17,_data_calc!$A$73:$A$87,_data_calc!$D$73:$D$87,0)</f>
        <v>13.6</v>
      </c>
    </row>
    <row r="18" spans="2:5" ht="15" x14ac:dyDescent="0.35">
      <c r="B18" s="17" t="s">
        <v>339</v>
      </c>
      <c r="C18" s="33">
        <f>_xlfn.XLOOKUP(B18,_data_calc!$A$73:$A$87,_data_calc!$B$73:$B$87,0)</f>
        <v>18.399999999999999</v>
      </c>
      <c r="D18" s="33">
        <f>_xlfn.XLOOKUP(B18,_data_calc!$A$73:$A$87,_data_calc!$C$73:$C$87,0)</f>
        <v>31.1</v>
      </c>
      <c r="E18" s="33">
        <f>_xlfn.XLOOKUP(B18,_data_calc!$A$73:$A$87,_data_calc!$D$73:$D$87,0)</f>
        <v>12.7</v>
      </c>
    </row>
    <row r="19" spans="2:5" ht="15" x14ac:dyDescent="0.35">
      <c r="B19" s="17" t="s">
        <v>340</v>
      </c>
      <c r="C19" s="33">
        <f>_xlfn.XLOOKUP(B19,_data_calc!$A$73:$A$87,_data_calc!$B$73:$B$87,0)</f>
        <v>19.3</v>
      </c>
      <c r="D19" s="33">
        <f>_xlfn.XLOOKUP(B19,_data_calc!$A$73:$A$87,_data_calc!$C$73:$C$87,0)</f>
        <v>29.4</v>
      </c>
      <c r="E19" s="33">
        <f>_xlfn.XLOOKUP(B19,_data_calc!$A$73:$A$87,_data_calc!$D$73:$D$87,0)</f>
        <v>10.1</v>
      </c>
    </row>
    <row r="20" spans="2:5" ht="15" x14ac:dyDescent="0.35">
      <c r="B20" s="17" t="s">
        <v>341</v>
      </c>
      <c r="C20" s="33">
        <f>_xlfn.XLOOKUP(B20,_data_calc!$A$73:$A$87,_data_calc!$B$73:$B$87,0)</f>
        <v>19.3</v>
      </c>
      <c r="D20" s="33">
        <f>_xlfn.XLOOKUP(B20,_data_calc!$A$73:$A$87,_data_calc!$C$73:$C$87,0)</f>
        <v>32.200000000000003</v>
      </c>
      <c r="E20" s="33">
        <f>_xlfn.XLOOKUP(B20,_data_calc!$A$73:$A$87,_data_calc!$D$73:$D$87,0)</f>
        <v>12.9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0" t="s">
        <v>342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343</v>
      </c>
      <c r="I4" s="4" t="s">
        <v>344</v>
      </c>
    </row>
    <row r="5" spans="2:11" x14ac:dyDescent="0.3">
      <c r="B5" s="56" t="s">
        <v>389</v>
      </c>
      <c r="C5" s="56" t="s">
        <v>388</v>
      </c>
      <c r="I5" s="10" t="s">
        <v>324</v>
      </c>
      <c r="J5" s="10" t="s">
        <v>217</v>
      </c>
      <c r="K5" s="10" t="s">
        <v>206</v>
      </c>
    </row>
    <row r="6" spans="2:11" x14ac:dyDescent="0.3">
      <c r="B6" s="56" t="s">
        <v>386</v>
      </c>
      <c r="C6" t="s">
        <v>219</v>
      </c>
      <c r="D6" t="s">
        <v>168</v>
      </c>
      <c r="E6" t="s">
        <v>221</v>
      </c>
      <c r="F6" t="s">
        <v>220</v>
      </c>
      <c r="G6" t="s">
        <v>387</v>
      </c>
      <c r="I6" s="31" t="s">
        <v>136</v>
      </c>
      <c r="J6" s="31" t="s">
        <v>168</v>
      </c>
      <c r="K6" s="23">
        <v>32074</v>
      </c>
    </row>
    <row r="7" spans="2:11" x14ac:dyDescent="0.3">
      <c r="B7" s="57" t="s">
        <v>354</v>
      </c>
      <c r="C7" s="58">
        <v>16</v>
      </c>
      <c r="D7" s="58">
        <v>61</v>
      </c>
      <c r="E7" s="58">
        <v>2</v>
      </c>
      <c r="F7" s="58">
        <v>4</v>
      </c>
      <c r="G7" s="58">
        <v>83</v>
      </c>
      <c r="I7" s="31" t="s">
        <v>136</v>
      </c>
      <c r="J7" s="31" t="s">
        <v>219</v>
      </c>
      <c r="K7" s="23">
        <v>8205</v>
      </c>
    </row>
    <row r="8" spans="2:11" x14ac:dyDescent="0.3">
      <c r="B8" s="57" t="s">
        <v>350</v>
      </c>
      <c r="C8" s="58">
        <v>68</v>
      </c>
      <c r="D8" s="58">
        <v>338</v>
      </c>
      <c r="E8" s="58">
        <v>5</v>
      </c>
      <c r="F8" s="58">
        <v>10</v>
      </c>
      <c r="G8" s="58">
        <v>421</v>
      </c>
      <c r="I8" s="31" t="s">
        <v>136</v>
      </c>
      <c r="J8" s="31" t="s">
        <v>220</v>
      </c>
      <c r="K8" s="23">
        <v>1596</v>
      </c>
    </row>
    <row r="9" spans="2:11" x14ac:dyDescent="0.3">
      <c r="B9" s="57" t="s">
        <v>353</v>
      </c>
      <c r="C9" s="58">
        <v>21</v>
      </c>
      <c r="D9" s="58">
        <v>124</v>
      </c>
      <c r="E9" s="58">
        <v>2</v>
      </c>
      <c r="F9" s="58">
        <v>4</v>
      </c>
      <c r="G9" s="58">
        <v>151</v>
      </c>
      <c r="I9" s="31" t="s">
        <v>136</v>
      </c>
      <c r="J9" s="31" t="s">
        <v>221</v>
      </c>
      <c r="K9" s="23">
        <v>759</v>
      </c>
    </row>
    <row r="10" spans="2:11" x14ac:dyDescent="0.3">
      <c r="B10" s="57" t="s">
        <v>355</v>
      </c>
      <c r="C10" s="58">
        <v>20</v>
      </c>
      <c r="D10" s="58">
        <v>47</v>
      </c>
      <c r="E10" s="58"/>
      <c r="F10" s="58">
        <v>3</v>
      </c>
      <c r="G10" s="58">
        <v>70</v>
      </c>
      <c r="I10" s="31" t="s">
        <v>332</v>
      </c>
      <c r="J10" s="31" t="s">
        <v>168</v>
      </c>
      <c r="K10" s="23">
        <v>10253</v>
      </c>
    </row>
    <row r="11" spans="2:11" x14ac:dyDescent="0.3">
      <c r="B11" s="57" t="s">
        <v>340</v>
      </c>
      <c r="C11" s="58">
        <v>614</v>
      </c>
      <c r="D11" s="58">
        <v>2643</v>
      </c>
      <c r="E11" s="58">
        <v>53</v>
      </c>
      <c r="F11" s="58">
        <v>176</v>
      </c>
      <c r="G11" s="58">
        <v>3486</v>
      </c>
      <c r="I11" s="31" t="s">
        <v>332</v>
      </c>
      <c r="J11" s="31" t="s">
        <v>219</v>
      </c>
      <c r="K11" s="23">
        <v>2163</v>
      </c>
    </row>
    <row r="12" spans="2:11" x14ac:dyDescent="0.3">
      <c r="B12" s="57" t="s">
        <v>345</v>
      </c>
      <c r="C12" s="58">
        <v>205</v>
      </c>
      <c r="D12" s="58">
        <v>1083</v>
      </c>
      <c r="E12" s="58">
        <v>20</v>
      </c>
      <c r="F12" s="58">
        <v>59</v>
      </c>
      <c r="G12" s="58">
        <v>1367</v>
      </c>
      <c r="I12" s="31" t="s">
        <v>332</v>
      </c>
      <c r="J12" s="31" t="s">
        <v>220</v>
      </c>
      <c r="K12" s="23">
        <v>547</v>
      </c>
    </row>
    <row r="13" spans="2:11" x14ac:dyDescent="0.3">
      <c r="B13" s="57" t="s">
        <v>330</v>
      </c>
      <c r="C13" s="58">
        <v>396</v>
      </c>
      <c r="D13" s="58">
        <v>1695</v>
      </c>
      <c r="E13" s="58">
        <v>17</v>
      </c>
      <c r="F13" s="58">
        <v>79</v>
      </c>
      <c r="G13" s="58">
        <v>2187</v>
      </c>
      <c r="I13" s="31" t="s">
        <v>332</v>
      </c>
      <c r="J13" s="31" t="s">
        <v>221</v>
      </c>
      <c r="K13" s="23">
        <v>185</v>
      </c>
    </row>
    <row r="14" spans="2:11" x14ac:dyDescent="0.3">
      <c r="B14" s="57" t="s">
        <v>336</v>
      </c>
      <c r="C14" s="58">
        <v>403</v>
      </c>
      <c r="D14" s="58">
        <v>1568</v>
      </c>
      <c r="E14" s="58">
        <v>27</v>
      </c>
      <c r="F14" s="58">
        <v>82</v>
      </c>
      <c r="G14" s="58">
        <v>2080</v>
      </c>
      <c r="I14" s="31" t="s">
        <v>328</v>
      </c>
      <c r="J14" s="31" t="s">
        <v>168</v>
      </c>
      <c r="K14" s="23">
        <v>9030</v>
      </c>
    </row>
    <row r="15" spans="2:11" x14ac:dyDescent="0.3">
      <c r="B15" s="57" t="s">
        <v>334</v>
      </c>
      <c r="C15" s="58">
        <v>449</v>
      </c>
      <c r="D15" s="58">
        <v>1514</v>
      </c>
      <c r="E15" s="58">
        <v>22</v>
      </c>
      <c r="F15" s="58">
        <v>76</v>
      </c>
      <c r="G15" s="58">
        <v>2061</v>
      </c>
      <c r="I15" s="31" t="s">
        <v>328</v>
      </c>
      <c r="J15" s="31" t="s">
        <v>219</v>
      </c>
      <c r="K15" s="23">
        <v>2304</v>
      </c>
    </row>
    <row r="16" spans="2:11" x14ac:dyDescent="0.3">
      <c r="B16" s="57" t="s">
        <v>347</v>
      </c>
      <c r="C16" s="58">
        <v>203</v>
      </c>
      <c r="D16" s="58">
        <v>534</v>
      </c>
      <c r="E16" s="58">
        <v>4</v>
      </c>
      <c r="F16" s="58">
        <v>19</v>
      </c>
      <c r="G16" s="58">
        <v>760</v>
      </c>
      <c r="I16" s="31" t="s">
        <v>328</v>
      </c>
      <c r="J16" s="31" t="s">
        <v>220</v>
      </c>
      <c r="K16" s="23">
        <v>438</v>
      </c>
    </row>
    <row r="17" spans="2:11" x14ac:dyDescent="0.3">
      <c r="B17" s="57" t="s">
        <v>328</v>
      </c>
      <c r="C17" s="58">
        <v>2304</v>
      </c>
      <c r="D17" s="58">
        <v>9030</v>
      </c>
      <c r="E17" s="58">
        <v>139</v>
      </c>
      <c r="F17" s="58">
        <v>438</v>
      </c>
      <c r="G17" s="58">
        <v>11911</v>
      </c>
      <c r="I17" s="31" t="s">
        <v>328</v>
      </c>
      <c r="J17" s="31" t="s">
        <v>221</v>
      </c>
      <c r="K17" s="23">
        <v>139</v>
      </c>
    </row>
    <row r="18" spans="2:11" x14ac:dyDescent="0.3">
      <c r="B18" s="57" t="s">
        <v>335</v>
      </c>
      <c r="C18" s="58">
        <v>175</v>
      </c>
      <c r="D18" s="58">
        <v>516</v>
      </c>
      <c r="E18" s="58">
        <v>11</v>
      </c>
      <c r="F18" s="58">
        <v>24</v>
      </c>
      <c r="G18" s="58">
        <v>726</v>
      </c>
      <c r="I18" s="31" t="s">
        <v>333</v>
      </c>
      <c r="J18" s="31" t="s">
        <v>168</v>
      </c>
      <c r="K18" s="23">
        <v>3967</v>
      </c>
    </row>
    <row r="19" spans="2:11" x14ac:dyDescent="0.3">
      <c r="B19" s="57" t="s">
        <v>338</v>
      </c>
      <c r="C19" s="58">
        <v>238</v>
      </c>
      <c r="D19" s="58">
        <v>657</v>
      </c>
      <c r="E19" s="58">
        <v>6</v>
      </c>
      <c r="F19" s="58">
        <v>25</v>
      </c>
      <c r="G19" s="58">
        <v>926</v>
      </c>
      <c r="I19" s="31" t="s">
        <v>333</v>
      </c>
      <c r="J19" s="31" t="s">
        <v>219</v>
      </c>
      <c r="K19" s="23">
        <v>1359</v>
      </c>
    </row>
    <row r="20" spans="2:11" x14ac:dyDescent="0.3">
      <c r="B20" s="57" t="s">
        <v>346</v>
      </c>
      <c r="C20" s="58">
        <v>215</v>
      </c>
      <c r="D20" s="58">
        <v>724</v>
      </c>
      <c r="E20" s="58">
        <v>16</v>
      </c>
      <c r="F20" s="58">
        <v>41</v>
      </c>
      <c r="G20" s="58">
        <v>996</v>
      </c>
      <c r="I20" s="31" t="s">
        <v>333</v>
      </c>
      <c r="J20" s="31" t="s">
        <v>220</v>
      </c>
      <c r="K20" s="23">
        <v>179</v>
      </c>
    </row>
    <row r="21" spans="2:11" x14ac:dyDescent="0.3">
      <c r="B21" s="57" t="s">
        <v>348</v>
      </c>
      <c r="C21" s="58">
        <v>93</v>
      </c>
      <c r="D21" s="58">
        <v>421</v>
      </c>
      <c r="E21" s="58">
        <v>13</v>
      </c>
      <c r="F21" s="58">
        <v>23</v>
      </c>
      <c r="G21" s="58">
        <v>550</v>
      </c>
      <c r="I21" s="31" t="s">
        <v>333</v>
      </c>
      <c r="J21" s="31" t="s">
        <v>221</v>
      </c>
      <c r="K21" s="23">
        <v>76</v>
      </c>
    </row>
    <row r="22" spans="2:11" x14ac:dyDescent="0.3">
      <c r="B22" s="57" t="s">
        <v>339</v>
      </c>
      <c r="C22" s="58">
        <v>277</v>
      </c>
      <c r="D22" s="58">
        <v>1326</v>
      </c>
      <c r="E22" s="58">
        <v>19</v>
      </c>
      <c r="F22" s="58">
        <v>73</v>
      </c>
      <c r="G22" s="58">
        <v>1695</v>
      </c>
      <c r="I22" s="31" t="s">
        <v>329</v>
      </c>
      <c r="J22" s="31" t="s">
        <v>168</v>
      </c>
      <c r="K22" s="23">
        <v>3776</v>
      </c>
    </row>
    <row r="23" spans="2:11" x14ac:dyDescent="0.3">
      <c r="B23" s="57" t="s">
        <v>349</v>
      </c>
      <c r="C23" s="58">
        <v>94</v>
      </c>
      <c r="D23" s="58">
        <v>383</v>
      </c>
      <c r="E23" s="58">
        <v>11</v>
      </c>
      <c r="F23" s="58">
        <v>27</v>
      </c>
      <c r="G23" s="58">
        <v>515</v>
      </c>
      <c r="I23" s="31" t="s">
        <v>329</v>
      </c>
      <c r="J23" s="31" t="s">
        <v>219</v>
      </c>
      <c r="K23" s="23">
        <v>1118</v>
      </c>
    </row>
    <row r="24" spans="2:11" x14ac:dyDescent="0.3">
      <c r="B24" s="57" t="s">
        <v>329</v>
      </c>
      <c r="C24" s="58">
        <v>1118</v>
      </c>
      <c r="D24" s="58">
        <v>3776</v>
      </c>
      <c r="E24" s="58">
        <v>74</v>
      </c>
      <c r="F24" s="58">
        <v>199</v>
      </c>
      <c r="G24" s="58">
        <v>5167</v>
      </c>
      <c r="I24" s="31" t="s">
        <v>329</v>
      </c>
      <c r="J24" s="31" t="s">
        <v>220</v>
      </c>
      <c r="K24" s="23">
        <v>199</v>
      </c>
    </row>
    <row r="25" spans="2:11" x14ac:dyDescent="0.3">
      <c r="B25" s="57" t="s">
        <v>332</v>
      </c>
      <c r="C25" s="58">
        <v>2163</v>
      </c>
      <c r="D25" s="58">
        <v>10253</v>
      </c>
      <c r="E25" s="58">
        <v>185</v>
      </c>
      <c r="F25" s="58">
        <v>547</v>
      </c>
      <c r="G25" s="58">
        <v>13148</v>
      </c>
      <c r="I25" s="31" t="s">
        <v>329</v>
      </c>
      <c r="J25" s="31" t="s">
        <v>221</v>
      </c>
      <c r="K25" s="23">
        <v>74</v>
      </c>
    </row>
    <row r="26" spans="2:11" x14ac:dyDescent="0.3">
      <c r="B26" s="57" t="s">
        <v>341</v>
      </c>
      <c r="C26" s="58">
        <v>80</v>
      </c>
      <c r="D26" s="58">
        <v>390</v>
      </c>
      <c r="E26" s="58">
        <v>9</v>
      </c>
      <c r="F26" s="58">
        <v>21</v>
      </c>
      <c r="G26" s="58">
        <v>500</v>
      </c>
      <c r="I26" s="31" t="s">
        <v>331</v>
      </c>
      <c r="J26" s="31" t="s">
        <v>168</v>
      </c>
      <c r="K26" s="23">
        <v>2705</v>
      </c>
    </row>
    <row r="27" spans="2:11" x14ac:dyDescent="0.3">
      <c r="B27" s="57" t="s">
        <v>352</v>
      </c>
      <c r="C27" s="58">
        <v>64</v>
      </c>
      <c r="D27" s="58">
        <v>184</v>
      </c>
      <c r="E27" s="58">
        <v>3</v>
      </c>
      <c r="F27" s="58">
        <v>7</v>
      </c>
      <c r="G27" s="58">
        <v>258</v>
      </c>
      <c r="I27" s="31" t="s">
        <v>331</v>
      </c>
      <c r="J27" s="31" t="s">
        <v>219</v>
      </c>
      <c r="K27" s="23">
        <v>840</v>
      </c>
    </row>
    <row r="28" spans="2:11" x14ac:dyDescent="0.3">
      <c r="B28" s="57" t="s">
        <v>356</v>
      </c>
      <c r="C28" s="58">
        <v>13</v>
      </c>
      <c r="D28" s="58">
        <v>33</v>
      </c>
      <c r="E28" s="58"/>
      <c r="F28" s="58"/>
      <c r="G28" s="58">
        <v>46</v>
      </c>
      <c r="I28" s="31" t="s">
        <v>331</v>
      </c>
      <c r="J28" s="31" t="s">
        <v>220</v>
      </c>
      <c r="K28" s="23">
        <v>127</v>
      </c>
    </row>
    <row r="29" spans="2:11" x14ac:dyDescent="0.3">
      <c r="B29" s="57" t="s">
        <v>333</v>
      </c>
      <c r="C29" s="58">
        <v>1359</v>
      </c>
      <c r="D29" s="58">
        <v>3967</v>
      </c>
      <c r="E29" s="58">
        <v>76</v>
      </c>
      <c r="F29" s="58">
        <v>179</v>
      </c>
      <c r="G29" s="58">
        <v>5581</v>
      </c>
      <c r="I29" s="31" t="s">
        <v>331</v>
      </c>
      <c r="J29" s="31" t="s">
        <v>221</v>
      </c>
      <c r="K29" s="23">
        <v>46</v>
      </c>
    </row>
    <row r="30" spans="2:11" x14ac:dyDescent="0.3">
      <c r="B30" s="57" t="s">
        <v>331</v>
      </c>
      <c r="C30" s="58">
        <v>840</v>
      </c>
      <c r="D30" s="58">
        <v>2705</v>
      </c>
      <c r="E30" s="58">
        <v>46</v>
      </c>
      <c r="F30" s="58">
        <v>127</v>
      </c>
      <c r="G30" s="58">
        <v>3718</v>
      </c>
      <c r="I30" s="31" t="s">
        <v>340</v>
      </c>
      <c r="J30" s="31" t="s">
        <v>168</v>
      </c>
      <c r="K30" s="23">
        <v>2643</v>
      </c>
    </row>
    <row r="31" spans="2:11" x14ac:dyDescent="0.3">
      <c r="B31" s="57" t="s">
        <v>351</v>
      </c>
      <c r="C31" s="58">
        <v>75</v>
      </c>
      <c r="D31" s="58">
        <v>263</v>
      </c>
      <c r="E31" s="58">
        <v>5</v>
      </c>
      <c r="F31" s="58">
        <v>15</v>
      </c>
      <c r="G31" s="58">
        <v>358</v>
      </c>
      <c r="I31" s="31" t="s">
        <v>340</v>
      </c>
      <c r="J31" s="31" t="s">
        <v>219</v>
      </c>
      <c r="K31" s="23">
        <v>614</v>
      </c>
    </row>
    <row r="32" spans="2:11" x14ac:dyDescent="0.3">
      <c r="B32" s="57" t="s">
        <v>136</v>
      </c>
      <c r="C32" s="58">
        <v>8205</v>
      </c>
      <c r="D32" s="58">
        <v>32074</v>
      </c>
      <c r="E32" s="58">
        <v>759</v>
      </c>
      <c r="F32" s="58">
        <v>1596</v>
      </c>
      <c r="G32" s="58">
        <v>42634</v>
      </c>
      <c r="I32" s="31" t="s">
        <v>340</v>
      </c>
      <c r="J32" s="31" t="s">
        <v>220</v>
      </c>
      <c r="K32" s="23">
        <v>176</v>
      </c>
    </row>
    <row r="33" spans="2:11" x14ac:dyDescent="0.3">
      <c r="B33" s="57" t="s">
        <v>337</v>
      </c>
      <c r="C33" s="58">
        <v>76</v>
      </c>
      <c r="D33" s="58">
        <v>196</v>
      </c>
      <c r="E33" s="58">
        <v>4</v>
      </c>
      <c r="F33" s="58">
        <v>12</v>
      </c>
      <c r="G33" s="58">
        <v>288</v>
      </c>
      <c r="I33" s="31" t="s">
        <v>340</v>
      </c>
      <c r="J33" s="31" t="s">
        <v>221</v>
      </c>
      <c r="K33" s="23">
        <v>53</v>
      </c>
    </row>
    <row r="34" spans="2:11" x14ac:dyDescent="0.3">
      <c r="B34" s="57" t="s">
        <v>387</v>
      </c>
      <c r="C34" s="58">
        <v>19784</v>
      </c>
      <c r="D34" s="58">
        <v>76505</v>
      </c>
      <c r="E34" s="58">
        <v>1528</v>
      </c>
      <c r="F34" s="58">
        <v>3866</v>
      </c>
      <c r="G34" s="58">
        <v>101683</v>
      </c>
      <c r="I34" s="31" t="s">
        <v>330</v>
      </c>
      <c r="J34" s="31" t="s">
        <v>168</v>
      </c>
      <c r="K34" s="23">
        <v>1695</v>
      </c>
    </row>
    <row r="35" spans="2:11" x14ac:dyDescent="0.3">
      <c r="I35" s="31" t="s">
        <v>330</v>
      </c>
      <c r="J35" s="31" t="s">
        <v>219</v>
      </c>
      <c r="K35" s="23">
        <v>396</v>
      </c>
    </row>
    <row r="36" spans="2:11" x14ac:dyDescent="0.3">
      <c r="I36" s="31" t="s">
        <v>330</v>
      </c>
      <c r="J36" s="31" t="s">
        <v>220</v>
      </c>
      <c r="K36" s="23">
        <v>79</v>
      </c>
    </row>
    <row r="37" spans="2:11" x14ac:dyDescent="0.3">
      <c r="I37" s="31" t="s">
        <v>330</v>
      </c>
      <c r="J37" s="31" t="s">
        <v>221</v>
      </c>
      <c r="K37" s="23">
        <v>17</v>
      </c>
    </row>
    <row r="38" spans="2:11" x14ac:dyDescent="0.3">
      <c r="I38" s="31" t="s">
        <v>336</v>
      </c>
      <c r="J38" s="31" t="s">
        <v>168</v>
      </c>
      <c r="K38" s="23">
        <v>1568</v>
      </c>
    </row>
    <row r="39" spans="2:11" x14ac:dyDescent="0.3">
      <c r="I39" s="31" t="s">
        <v>336</v>
      </c>
      <c r="J39" s="31" t="s">
        <v>219</v>
      </c>
      <c r="K39" s="23">
        <v>403</v>
      </c>
    </row>
    <row r="40" spans="2:11" x14ac:dyDescent="0.3">
      <c r="I40" s="31" t="s">
        <v>336</v>
      </c>
      <c r="J40" s="31" t="s">
        <v>220</v>
      </c>
      <c r="K40" s="23">
        <v>82</v>
      </c>
    </row>
    <row r="41" spans="2:11" x14ac:dyDescent="0.3">
      <c r="I41" s="31" t="s">
        <v>336</v>
      </c>
      <c r="J41" s="31" t="s">
        <v>221</v>
      </c>
      <c r="K41" s="23">
        <v>27</v>
      </c>
    </row>
    <row r="42" spans="2:11" x14ac:dyDescent="0.3">
      <c r="I42" s="31" t="s">
        <v>334</v>
      </c>
      <c r="J42" s="31" t="s">
        <v>168</v>
      </c>
      <c r="K42" s="23">
        <v>1514</v>
      </c>
    </row>
    <row r="43" spans="2:11" x14ac:dyDescent="0.3">
      <c r="I43" s="31" t="s">
        <v>334</v>
      </c>
      <c r="J43" s="31" t="s">
        <v>219</v>
      </c>
      <c r="K43" s="23">
        <v>449</v>
      </c>
    </row>
    <row r="44" spans="2:11" x14ac:dyDescent="0.3">
      <c r="I44" s="31" t="s">
        <v>334</v>
      </c>
      <c r="J44" s="31" t="s">
        <v>220</v>
      </c>
      <c r="K44" s="23">
        <v>76</v>
      </c>
    </row>
    <row r="45" spans="2:11" x14ac:dyDescent="0.3">
      <c r="I45" s="31" t="s">
        <v>334</v>
      </c>
      <c r="J45" s="31" t="s">
        <v>221</v>
      </c>
      <c r="K45" s="23">
        <v>22</v>
      </c>
    </row>
    <row r="46" spans="2:11" x14ac:dyDescent="0.3">
      <c r="I46" s="31" t="s">
        <v>339</v>
      </c>
      <c r="J46" s="31" t="s">
        <v>168</v>
      </c>
      <c r="K46" s="23">
        <v>1326</v>
      </c>
    </row>
    <row r="47" spans="2:11" x14ac:dyDescent="0.3">
      <c r="I47" s="31" t="s">
        <v>339</v>
      </c>
      <c r="J47" s="31" t="s">
        <v>219</v>
      </c>
      <c r="K47" s="23">
        <v>277</v>
      </c>
    </row>
    <row r="48" spans="2:11" x14ac:dyDescent="0.3">
      <c r="I48" s="31" t="s">
        <v>339</v>
      </c>
      <c r="J48" s="31" t="s">
        <v>220</v>
      </c>
      <c r="K48" s="23">
        <v>73</v>
      </c>
    </row>
    <row r="49" spans="9:11" x14ac:dyDescent="0.3">
      <c r="I49" s="31" t="s">
        <v>339</v>
      </c>
      <c r="J49" s="31" t="s">
        <v>221</v>
      </c>
      <c r="K49" s="23">
        <v>19</v>
      </c>
    </row>
    <row r="50" spans="9:11" x14ac:dyDescent="0.3">
      <c r="I50" s="31" t="s">
        <v>345</v>
      </c>
      <c r="J50" s="31" t="s">
        <v>168</v>
      </c>
      <c r="K50" s="23">
        <v>1083</v>
      </c>
    </row>
    <row r="51" spans="9:11" x14ac:dyDescent="0.3">
      <c r="I51" s="31" t="s">
        <v>345</v>
      </c>
      <c r="J51" s="31" t="s">
        <v>219</v>
      </c>
      <c r="K51" s="23">
        <v>205</v>
      </c>
    </row>
    <row r="52" spans="9:11" x14ac:dyDescent="0.3">
      <c r="I52" s="31" t="s">
        <v>345</v>
      </c>
      <c r="J52" s="31" t="s">
        <v>220</v>
      </c>
      <c r="K52" s="23">
        <v>59</v>
      </c>
    </row>
    <row r="53" spans="9:11" x14ac:dyDescent="0.3">
      <c r="I53" s="31" t="s">
        <v>345</v>
      </c>
      <c r="J53" s="31" t="s">
        <v>221</v>
      </c>
      <c r="K53" s="23">
        <v>20</v>
      </c>
    </row>
    <row r="54" spans="9:11" x14ac:dyDescent="0.3">
      <c r="I54" s="31" t="s">
        <v>346</v>
      </c>
      <c r="J54" s="31" t="s">
        <v>168</v>
      </c>
      <c r="K54" s="23">
        <v>724</v>
      </c>
    </row>
    <row r="55" spans="9:11" x14ac:dyDescent="0.3">
      <c r="I55" s="31" t="s">
        <v>346</v>
      </c>
      <c r="J55" s="31" t="s">
        <v>219</v>
      </c>
      <c r="K55" s="23">
        <v>215</v>
      </c>
    </row>
    <row r="56" spans="9:11" x14ac:dyDescent="0.3">
      <c r="I56" s="31" t="s">
        <v>346</v>
      </c>
      <c r="J56" s="31" t="s">
        <v>220</v>
      </c>
      <c r="K56" s="23">
        <v>41</v>
      </c>
    </row>
    <row r="57" spans="9:11" x14ac:dyDescent="0.3">
      <c r="I57" s="31" t="s">
        <v>346</v>
      </c>
      <c r="J57" s="31" t="s">
        <v>221</v>
      </c>
      <c r="K57" s="23">
        <v>16</v>
      </c>
    </row>
    <row r="58" spans="9:11" x14ac:dyDescent="0.3">
      <c r="I58" s="31" t="s">
        <v>338</v>
      </c>
      <c r="J58" s="31" t="s">
        <v>168</v>
      </c>
      <c r="K58" s="23">
        <v>657</v>
      </c>
    </row>
    <row r="59" spans="9:11" x14ac:dyDescent="0.3">
      <c r="I59" s="31" t="s">
        <v>338</v>
      </c>
      <c r="J59" s="31" t="s">
        <v>219</v>
      </c>
      <c r="K59" s="23">
        <v>238</v>
      </c>
    </row>
    <row r="60" spans="9:11" x14ac:dyDescent="0.3">
      <c r="I60" s="31" t="s">
        <v>338</v>
      </c>
      <c r="J60" s="31" t="s">
        <v>220</v>
      </c>
      <c r="K60" s="23">
        <v>25</v>
      </c>
    </row>
    <row r="61" spans="9:11" x14ac:dyDescent="0.3">
      <c r="I61" s="31" t="s">
        <v>338</v>
      </c>
      <c r="J61" s="31" t="s">
        <v>221</v>
      </c>
      <c r="K61" s="23">
        <v>6</v>
      </c>
    </row>
    <row r="62" spans="9:11" x14ac:dyDescent="0.3">
      <c r="I62" s="31" t="s">
        <v>347</v>
      </c>
      <c r="J62" s="31" t="s">
        <v>168</v>
      </c>
      <c r="K62" s="23">
        <v>534</v>
      </c>
    </row>
    <row r="63" spans="9:11" x14ac:dyDescent="0.3">
      <c r="I63" s="31" t="s">
        <v>347</v>
      </c>
      <c r="J63" s="31" t="s">
        <v>219</v>
      </c>
      <c r="K63" s="23">
        <v>203</v>
      </c>
    </row>
    <row r="64" spans="9:11" x14ac:dyDescent="0.3">
      <c r="I64" s="31" t="s">
        <v>347</v>
      </c>
      <c r="J64" s="31" t="s">
        <v>220</v>
      </c>
      <c r="K64" s="23">
        <v>19</v>
      </c>
    </row>
    <row r="65" spans="9:11" x14ac:dyDescent="0.3">
      <c r="I65" s="31" t="s">
        <v>347</v>
      </c>
      <c r="J65" s="31" t="s">
        <v>221</v>
      </c>
      <c r="K65" s="23">
        <v>4</v>
      </c>
    </row>
    <row r="66" spans="9:11" x14ac:dyDescent="0.3">
      <c r="I66" s="31" t="s">
        <v>335</v>
      </c>
      <c r="J66" s="31" t="s">
        <v>168</v>
      </c>
      <c r="K66" s="23">
        <v>516</v>
      </c>
    </row>
    <row r="67" spans="9:11" x14ac:dyDescent="0.3">
      <c r="I67" s="31" t="s">
        <v>335</v>
      </c>
      <c r="J67" s="31" t="s">
        <v>219</v>
      </c>
      <c r="K67" s="23">
        <v>175</v>
      </c>
    </row>
    <row r="68" spans="9:11" x14ac:dyDescent="0.3">
      <c r="I68" s="31" t="s">
        <v>335</v>
      </c>
      <c r="J68" s="31" t="s">
        <v>220</v>
      </c>
      <c r="K68" s="23">
        <v>24</v>
      </c>
    </row>
    <row r="69" spans="9:11" x14ac:dyDescent="0.3">
      <c r="I69" s="31" t="s">
        <v>335</v>
      </c>
      <c r="J69" s="31" t="s">
        <v>221</v>
      </c>
      <c r="K69" s="23">
        <v>11</v>
      </c>
    </row>
    <row r="70" spans="9:11" x14ac:dyDescent="0.3">
      <c r="I70" s="31" t="s">
        <v>348</v>
      </c>
      <c r="J70" s="31" t="s">
        <v>168</v>
      </c>
      <c r="K70" s="23">
        <v>421</v>
      </c>
    </row>
    <row r="71" spans="9:11" x14ac:dyDescent="0.3">
      <c r="I71" s="31" t="s">
        <v>348</v>
      </c>
      <c r="J71" s="31" t="s">
        <v>219</v>
      </c>
      <c r="K71" s="23">
        <v>93</v>
      </c>
    </row>
    <row r="72" spans="9:11" x14ac:dyDescent="0.3">
      <c r="I72" s="31" t="s">
        <v>348</v>
      </c>
      <c r="J72" s="31" t="s">
        <v>220</v>
      </c>
      <c r="K72" s="23">
        <v>23</v>
      </c>
    </row>
    <row r="73" spans="9:11" x14ac:dyDescent="0.3">
      <c r="I73" s="31" t="s">
        <v>348</v>
      </c>
      <c r="J73" s="31" t="s">
        <v>221</v>
      </c>
      <c r="K73" s="23">
        <v>13</v>
      </c>
    </row>
    <row r="74" spans="9:11" x14ac:dyDescent="0.3">
      <c r="I74" s="31" t="s">
        <v>349</v>
      </c>
      <c r="J74" s="31" t="s">
        <v>168</v>
      </c>
      <c r="K74" s="23">
        <v>383</v>
      </c>
    </row>
    <row r="75" spans="9:11" x14ac:dyDescent="0.3">
      <c r="I75" s="31" t="s">
        <v>349</v>
      </c>
      <c r="J75" s="31" t="s">
        <v>219</v>
      </c>
      <c r="K75" s="23">
        <v>94</v>
      </c>
    </row>
    <row r="76" spans="9:11" x14ac:dyDescent="0.3">
      <c r="I76" s="31" t="s">
        <v>349</v>
      </c>
      <c r="J76" s="31" t="s">
        <v>220</v>
      </c>
      <c r="K76" s="23">
        <v>27</v>
      </c>
    </row>
    <row r="77" spans="9:11" x14ac:dyDescent="0.3">
      <c r="I77" s="31" t="s">
        <v>349</v>
      </c>
      <c r="J77" s="31" t="s">
        <v>221</v>
      </c>
      <c r="K77" s="23">
        <v>11</v>
      </c>
    </row>
    <row r="78" spans="9:11" x14ac:dyDescent="0.3">
      <c r="I78" s="31" t="s">
        <v>341</v>
      </c>
      <c r="J78" s="31" t="s">
        <v>168</v>
      </c>
      <c r="K78" s="23">
        <v>390</v>
      </c>
    </row>
    <row r="79" spans="9:11" x14ac:dyDescent="0.3">
      <c r="I79" s="31" t="s">
        <v>341</v>
      </c>
      <c r="J79" s="31" t="s">
        <v>219</v>
      </c>
      <c r="K79" s="23">
        <v>80</v>
      </c>
    </row>
    <row r="80" spans="9:11" x14ac:dyDescent="0.3">
      <c r="I80" s="31" t="s">
        <v>341</v>
      </c>
      <c r="J80" s="31" t="s">
        <v>220</v>
      </c>
      <c r="K80" s="23">
        <v>21</v>
      </c>
    </row>
    <row r="81" spans="9:11" x14ac:dyDescent="0.3">
      <c r="I81" s="31" t="s">
        <v>341</v>
      </c>
      <c r="J81" s="31" t="s">
        <v>221</v>
      </c>
      <c r="K81" s="23">
        <v>9</v>
      </c>
    </row>
    <row r="82" spans="9:11" x14ac:dyDescent="0.3">
      <c r="I82" s="31" t="s">
        <v>350</v>
      </c>
      <c r="J82" s="31" t="s">
        <v>168</v>
      </c>
      <c r="K82" s="23">
        <v>338</v>
      </c>
    </row>
    <row r="83" spans="9:11" x14ac:dyDescent="0.3">
      <c r="I83" s="31" t="s">
        <v>350</v>
      </c>
      <c r="J83" s="31" t="s">
        <v>219</v>
      </c>
      <c r="K83" s="23">
        <v>68</v>
      </c>
    </row>
    <row r="84" spans="9:11" x14ac:dyDescent="0.3">
      <c r="I84" s="31" t="s">
        <v>350</v>
      </c>
      <c r="J84" s="31" t="s">
        <v>220</v>
      </c>
      <c r="K84" s="23">
        <v>10</v>
      </c>
    </row>
    <row r="85" spans="9:11" x14ac:dyDescent="0.3">
      <c r="I85" s="31" t="s">
        <v>350</v>
      </c>
      <c r="J85" s="31" t="s">
        <v>221</v>
      </c>
      <c r="K85" s="23">
        <v>5</v>
      </c>
    </row>
    <row r="86" spans="9:11" x14ac:dyDescent="0.3">
      <c r="I86" s="31" t="s">
        <v>351</v>
      </c>
      <c r="J86" s="31" t="s">
        <v>168</v>
      </c>
      <c r="K86" s="23">
        <v>263</v>
      </c>
    </row>
    <row r="87" spans="9:11" x14ac:dyDescent="0.3">
      <c r="I87" s="31" t="s">
        <v>351</v>
      </c>
      <c r="J87" s="31" t="s">
        <v>219</v>
      </c>
      <c r="K87" s="23">
        <v>75</v>
      </c>
    </row>
    <row r="88" spans="9:11" x14ac:dyDescent="0.3">
      <c r="I88" s="31" t="s">
        <v>351</v>
      </c>
      <c r="J88" s="31" t="s">
        <v>220</v>
      </c>
      <c r="K88" s="23">
        <v>15</v>
      </c>
    </row>
    <row r="89" spans="9:11" x14ac:dyDescent="0.3">
      <c r="I89" s="31" t="s">
        <v>351</v>
      </c>
      <c r="J89" s="31" t="s">
        <v>221</v>
      </c>
      <c r="K89" s="23">
        <v>5</v>
      </c>
    </row>
    <row r="90" spans="9:11" x14ac:dyDescent="0.3">
      <c r="I90" s="31" t="s">
        <v>337</v>
      </c>
      <c r="J90" s="31" t="s">
        <v>168</v>
      </c>
      <c r="K90" s="23">
        <v>196</v>
      </c>
    </row>
    <row r="91" spans="9:11" x14ac:dyDescent="0.3">
      <c r="I91" s="31" t="s">
        <v>337</v>
      </c>
      <c r="J91" s="31" t="s">
        <v>219</v>
      </c>
      <c r="K91" s="23">
        <v>76</v>
      </c>
    </row>
    <row r="92" spans="9:11" x14ac:dyDescent="0.3">
      <c r="I92" s="31" t="s">
        <v>337</v>
      </c>
      <c r="J92" s="31" t="s">
        <v>220</v>
      </c>
      <c r="K92" s="23">
        <v>12</v>
      </c>
    </row>
    <row r="93" spans="9:11" x14ac:dyDescent="0.3">
      <c r="I93" s="31" t="s">
        <v>337</v>
      </c>
      <c r="J93" s="31" t="s">
        <v>221</v>
      </c>
      <c r="K93" s="23">
        <v>4</v>
      </c>
    </row>
    <row r="94" spans="9:11" x14ac:dyDescent="0.3">
      <c r="I94" s="31" t="s">
        <v>352</v>
      </c>
      <c r="J94" s="31" t="s">
        <v>168</v>
      </c>
      <c r="K94" s="23">
        <v>184</v>
      </c>
    </row>
    <row r="95" spans="9:11" x14ac:dyDescent="0.3">
      <c r="I95" s="31" t="s">
        <v>352</v>
      </c>
      <c r="J95" s="31" t="s">
        <v>219</v>
      </c>
      <c r="K95" s="23">
        <v>64</v>
      </c>
    </row>
    <row r="96" spans="9:11" x14ac:dyDescent="0.3">
      <c r="I96" s="31" t="s">
        <v>352</v>
      </c>
      <c r="J96" s="31" t="s">
        <v>220</v>
      </c>
      <c r="K96" s="23">
        <v>7</v>
      </c>
    </row>
    <row r="97" spans="9:11" x14ac:dyDescent="0.3">
      <c r="I97" s="31" t="s">
        <v>352</v>
      </c>
      <c r="J97" s="31" t="s">
        <v>221</v>
      </c>
      <c r="K97" s="23">
        <v>3</v>
      </c>
    </row>
    <row r="98" spans="9:11" x14ac:dyDescent="0.3">
      <c r="I98" s="31" t="s">
        <v>353</v>
      </c>
      <c r="J98" s="31" t="s">
        <v>168</v>
      </c>
      <c r="K98" s="23">
        <v>124</v>
      </c>
    </row>
    <row r="99" spans="9:11" x14ac:dyDescent="0.3">
      <c r="I99" s="31" t="s">
        <v>353</v>
      </c>
      <c r="J99" s="31" t="s">
        <v>219</v>
      </c>
      <c r="K99" s="23">
        <v>21</v>
      </c>
    </row>
    <row r="100" spans="9:11" x14ac:dyDescent="0.3">
      <c r="I100" s="31" t="s">
        <v>353</v>
      </c>
      <c r="J100" s="31" t="s">
        <v>220</v>
      </c>
      <c r="K100" s="23">
        <v>4</v>
      </c>
    </row>
    <row r="101" spans="9:11" x14ac:dyDescent="0.3">
      <c r="I101" s="31" t="s">
        <v>353</v>
      </c>
      <c r="J101" s="31" t="s">
        <v>221</v>
      </c>
      <c r="K101" s="23">
        <v>2</v>
      </c>
    </row>
    <row r="102" spans="9:11" x14ac:dyDescent="0.3">
      <c r="I102" s="31" t="s">
        <v>354</v>
      </c>
      <c r="J102" s="31" t="s">
        <v>168</v>
      </c>
      <c r="K102" s="23">
        <v>61</v>
      </c>
    </row>
    <row r="103" spans="9:11" x14ac:dyDescent="0.3">
      <c r="I103" s="31" t="s">
        <v>354</v>
      </c>
      <c r="J103" s="31" t="s">
        <v>219</v>
      </c>
      <c r="K103" s="23">
        <v>16</v>
      </c>
    </row>
    <row r="104" spans="9:11" x14ac:dyDescent="0.3">
      <c r="I104" s="31" t="s">
        <v>354</v>
      </c>
      <c r="J104" s="31" t="s">
        <v>220</v>
      </c>
      <c r="K104" s="23">
        <v>4</v>
      </c>
    </row>
    <row r="105" spans="9:11" x14ac:dyDescent="0.3">
      <c r="I105" s="31" t="s">
        <v>354</v>
      </c>
      <c r="J105" s="31" t="s">
        <v>221</v>
      </c>
      <c r="K105" s="23">
        <v>2</v>
      </c>
    </row>
    <row r="106" spans="9:11" x14ac:dyDescent="0.3">
      <c r="I106" s="31" t="s">
        <v>355</v>
      </c>
      <c r="J106" s="31" t="s">
        <v>168</v>
      </c>
      <c r="K106" s="23">
        <v>47</v>
      </c>
    </row>
    <row r="107" spans="9:11" x14ac:dyDescent="0.3">
      <c r="I107" s="31" t="s">
        <v>355</v>
      </c>
      <c r="J107" s="31" t="s">
        <v>219</v>
      </c>
      <c r="K107" s="23">
        <v>20</v>
      </c>
    </row>
    <row r="108" spans="9:11" x14ac:dyDescent="0.3">
      <c r="I108" s="31" t="s">
        <v>355</v>
      </c>
      <c r="J108" s="31" t="s">
        <v>220</v>
      </c>
      <c r="K108" s="23">
        <v>3</v>
      </c>
    </row>
    <row r="109" spans="9:11" x14ac:dyDescent="0.3">
      <c r="I109" s="31" t="s">
        <v>356</v>
      </c>
      <c r="J109" s="31" t="s">
        <v>168</v>
      </c>
      <c r="K109" s="23">
        <v>33</v>
      </c>
    </row>
    <row r="110" spans="9:11" x14ac:dyDescent="0.3">
      <c r="I110" s="31" t="s">
        <v>356</v>
      </c>
      <c r="J110" s="31" t="s">
        <v>219</v>
      </c>
      <c r="K110" s="23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48" t="s">
        <v>357</v>
      </c>
    </row>
    <row r="2" spans="1:3" x14ac:dyDescent="0.3">
      <c r="A2" s="10" t="s">
        <v>192</v>
      </c>
      <c r="B2" s="10" t="s">
        <v>193</v>
      </c>
      <c r="C2" s="10" t="s">
        <v>286</v>
      </c>
    </row>
    <row r="3" spans="1:3" x14ac:dyDescent="0.3">
      <c r="A3" t="s">
        <v>194</v>
      </c>
      <c r="B3" s="49">
        <v>99441</v>
      </c>
      <c r="C3" s="50" t="s">
        <v>289</v>
      </c>
    </row>
    <row r="4" spans="1:3" x14ac:dyDescent="0.3">
      <c r="A4" t="s">
        <v>195</v>
      </c>
      <c r="B4" s="49">
        <v>96096</v>
      </c>
      <c r="C4" s="50" t="s">
        <v>289</v>
      </c>
    </row>
    <row r="5" spans="1:3" x14ac:dyDescent="0.3">
      <c r="A5" t="s">
        <v>196</v>
      </c>
      <c r="B5" s="49">
        <v>3095</v>
      </c>
      <c r="C5" s="50" t="s">
        <v>289</v>
      </c>
    </row>
    <row r="6" spans="1:3" x14ac:dyDescent="0.3">
      <c r="A6" t="s">
        <v>197</v>
      </c>
      <c r="B6" s="49">
        <v>32951</v>
      </c>
      <c r="C6" s="50" t="s">
        <v>289</v>
      </c>
    </row>
    <row r="7" spans="1:3" x14ac:dyDescent="0.3">
      <c r="A7" t="s">
        <v>198</v>
      </c>
      <c r="B7" s="49">
        <v>71</v>
      </c>
      <c r="C7" s="50" t="s">
        <v>289</v>
      </c>
    </row>
    <row r="8" spans="1:3" x14ac:dyDescent="0.3">
      <c r="A8" t="s">
        <v>199</v>
      </c>
      <c r="B8" s="51">
        <v>27</v>
      </c>
      <c r="C8" s="50" t="s">
        <v>292</v>
      </c>
    </row>
    <row r="9" spans="1:3" x14ac:dyDescent="0.3">
      <c r="A9" t="s">
        <v>200</v>
      </c>
      <c r="B9" s="49">
        <v>4119</v>
      </c>
      <c r="C9" s="50" t="s">
        <v>289</v>
      </c>
    </row>
    <row r="10" spans="1:3" x14ac:dyDescent="0.3">
      <c r="A10" t="s">
        <v>201</v>
      </c>
      <c r="B10" s="49">
        <v>13591644</v>
      </c>
      <c r="C10" s="50" t="s">
        <v>289</v>
      </c>
    </row>
    <row r="11" spans="1:3" x14ac:dyDescent="0.3">
      <c r="A11" t="s">
        <v>202</v>
      </c>
      <c r="B11" s="52">
        <v>137.41</v>
      </c>
      <c r="C11" s="50" t="s">
        <v>358</v>
      </c>
    </row>
    <row r="12" spans="1:3" x14ac:dyDescent="0.3">
      <c r="A12" t="s">
        <v>10</v>
      </c>
      <c r="B12" s="53">
        <v>1.8100000000000002E-2</v>
      </c>
      <c r="C12" s="50" t="s">
        <v>359</v>
      </c>
    </row>
    <row r="13" spans="1:3" x14ac:dyDescent="0.3">
      <c r="A13" t="s">
        <v>360</v>
      </c>
      <c r="B13" s="51">
        <v>274</v>
      </c>
      <c r="C13" s="50" t="s">
        <v>292</v>
      </c>
    </row>
    <row r="14" spans="1:3" x14ac:dyDescent="0.3">
      <c r="A14" t="s">
        <v>361</v>
      </c>
      <c r="B14" s="49">
        <v>21975</v>
      </c>
      <c r="C14" s="50" t="s">
        <v>289</v>
      </c>
    </row>
    <row r="15" spans="1:3" x14ac:dyDescent="0.3">
      <c r="A15" t="s">
        <v>362</v>
      </c>
      <c r="B15" s="51">
        <v>213</v>
      </c>
      <c r="C15" s="50" t="s">
        <v>292</v>
      </c>
    </row>
    <row r="16" spans="1:3" x14ac:dyDescent="0.3">
      <c r="A16" t="s">
        <v>363</v>
      </c>
      <c r="B16" s="54">
        <v>15.4</v>
      </c>
      <c r="C16" s="50" t="s">
        <v>364</v>
      </c>
    </row>
    <row r="17" spans="1:5" x14ac:dyDescent="0.3">
      <c r="A17" t="s">
        <v>365</v>
      </c>
      <c r="B17" s="54">
        <v>24</v>
      </c>
      <c r="C17" s="50" t="s">
        <v>364</v>
      </c>
    </row>
    <row r="18" spans="1:5" x14ac:dyDescent="0.3">
      <c r="A18" t="s">
        <v>366</v>
      </c>
      <c r="B18" s="49">
        <v>1693</v>
      </c>
      <c r="C18" s="50" t="s">
        <v>289</v>
      </c>
    </row>
    <row r="21" spans="1:5" ht="18.5" x14ac:dyDescent="0.45">
      <c r="A21" s="48" t="s">
        <v>367</v>
      </c>
    </row>
    <row r="22" spans="1:5" ht="29" x14ac:dyDescent="0.3">
      <c r="A22" s="10" t="s">
        <v>204</v>
      </c>
      <c r="B22" s="10" t="s">
        <v>205</v>
      </c>
      <c r="C22" s="10" t="s">
        <v>206</v>
      </c>
      <c r="D22" s="10" t="s">
        <v>207</v>
      </c>
      <c r="E22" s="10" t="s">
        <v>208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48" t="s">
        <v>368</v>
      </c>
    </row>
    <row r="29" spans="1:5" x14ac:dyDescent="0.3">
      <c r="A29" s="10" t="s">
        <v>223</v>
      </c>
      <c r="B29" s="10" t="s">
        <v>224</v>
      </c>
    </row>
    <row r="30" spans="1:5" x14ac:dyDescent="0.3">
      <c r="A30" t="s">
        <v>225</v>
      </c>
      <c r="B30">
        <v>111798.36</v>
      </c>
    </row>
    <row r="31" spans="1:5" x14ac:dyDescent="0.3">
      <c r="A31" t="s">
        <v>226</v>
      </c>
      <c r="B31">
        <v>234223.4</v>
      </c>
    </row>
    <row r="32" spans="1:5" x14ac:dyDescent="0.3">
      <c r="A32" t="s">
        <v>227</v>
      </c>
      <c r="B32">
        <v>359198.85</v>
      </c>
    </row>
    <row r="33" spans="1:2" x14ac:dyDescent="0.3">
      <c r="A33" t="s">
        <v>228</v>
      </c>
      <c r="B33">
        <v>340669.68</v>
      </c>
    </row>
    <row r="34" spans="1:2" x14ac:dyDescent="0.3">
      <c r="A34" t="s">
        <v>229</v>
      </c>
      <c r="B34">
        <v>489338.25</v>
      </c>
    </row>
    <row r="35" spans="1:2" x14ac:dyDescent="0.3">
      <c r="A35" t="s">
        <v>230</v>
      </c>
      <c r="B35">
        <v>421923.37</v>
      </c>
    </row>
    <row r="36" spans="1:2" x14ac:dyDescent="0.3">
      <c r="A36" t="s">
        <v>231</v>
      </c>
      <c r="B36">
        <v>481604.52</v>
      </c>
    </row>
    <row r="37" spans="1:2" x14ac:dyDescent="0.3">
      <c r="A37" t="s">
        <v>232</v>
      </c>
      <c r="B37">
        <v>554699.69999999995</v>
      </c>
    </row>
    <row r="38" spans="1:2" x14ac:dyDescent="0.3">
      <c r="A38" t="s">
        <v>233</v>
      </c>
      <c r="B38">
        <v>607399.67000000004</v>
      </c>
    </row>
    <row r="39" spans="1:2" x14ac:dyDescent="0.3">
      <c r="A39" t="s">
        <v>234</v>
      </c>
      <c r="B39">
        <v>648247.65</v>
      </c>
    </row>
    <row r="40" spans="1:2" x14ac:dyDescent="0.3">
      <c r="A40" t="s">
        <v>235</v>
      </c>
      <c r="B40">
        <v>987765.37</v>
      </c>
    </row>
    <row r="41" spans="1:2" x14ac:dyDescent="0.3">
      <c r="A41" t="s">
        <v>236</v>
      </c>
      <c r="B41">
        <v>726033.19</v>
      </c>
    </row>
    <row r="42" spans="1:2" x14ac:dyDescent="0.3">
      <c r="A42" t="s">
        <v>237</v>
      </c>
      <c r="B42">
        <v>924645</v>
      </c>
    </row>
    <row r="43" spans="1:2" x14ac:dyDescent="0.3">
      <c r="A43" t="s">
        <v>238</v>
      </c>
      <c r="B43">
        <v>826437.13</v>
      </c>
    </row>
    <row r="44" spans="1:2" x14ac:dyDescent="0.3">
      <c r="A44" t="s">
        <v>239</v>
      </c>
      <c r="B44">
        <v>953356.25</v>
      </c>
    </row>
    <row r="45" spans="1:2" x14ac:dyDescent="0.3">
      <c r="A45" t="s">
        <v>240</v>
      </c>
      <c r="B45">
        <v>973534.09</v>
      </c>
    </row>
    <row r="46" spans="1:2" x14ac:dyDescent="0.3">
      <c r="A46" t="s">
        <v>241</v>
      </c>
      <c r="B46">
        <v>977544.69</v>
      </c>
    </row>
    <row r="47" spans="1:2" x14ac:dyDescent="0.3">
      <c r="A47" t="s">
        <v>242</v>
      </c>
      <c r="B47">
        <v>856077.86</v>
      </c>
    </row>
    <row r="48" spans="1:2" x14ac:dyDescent="0.3">
      <c r="A48" t="s">
        <v>243</v>
      </c>
      <c r="B48">
        <v>867953.46</v>
      </c>
    </row>
    <row r="49" spans="1:7" x14ac:dyDescent="0.3">
      <c r="A49" t="s">
        <v>244</v>
      </c>
      <c r="B49">
        <v>838576.64000000001</v>
      </c>
    </row>
    <row r="52" spans="1:7" ht="18.5" x14ac:dyDescent="0.45">
      <c r="A52" s="48" t="s">
        <v>369</v>
      </c>
    </row>
    <row r="53" spans="1:7" ht="29" x14ac:dyDescent="0.3">
      <c r="A53" s="10" t="s">
        <v>247</v>
      </c>
      <c r="B53" s="10" t="s">
        <v>248</v>
      </c>
      <c r="C53" s="10" t="s">
        <v>249</v>
      </c>
      <c r="D53" s="10" t="s">
        <v>224</v>
      </c>
      <c r="E53" s="10" t="s">
        <v>250</v>
      </c>
      <c r="F53" s="10" t="s">
        <v>251</v>
      </c>
      <c r="G53" s="10" t="s">
        <v>252</v>
      </c>
    </row>
    <row r="54" spans="1:7" x14ac:dyDescent="0.3">
      <c r="A54" t="s">
        <v>254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256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258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260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262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264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48" t="s">
        <v>370</v>
      </c>
    </row>
    <row r="63" spans="1:7" ht="29" x14ac:dyDescent="0.3">
      <c r="A63" s="10" t="s">
        <v>371</v>
      </c>
      <c r="B63" s="10" t="s">
        <v>206</v>
      </c>
      <c r="C63" s="10" t="s">
        <v>372</v>
      </c>
      <c r="D63" s="10" t="s">
        <v>248</v>
      </c>
      <c r="E63" s="10" t="s">
        <v>373</v>
      </c>
    </row>
    <row r="64" spans="1:7" x14ac:dyDescent="0.3">
      <c r="A64" t="s">
        <v>317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318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319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320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321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48" t="s">
        <v>374</v>
      </c>
    </row>
    <row r="72" spans="1:5" ht="29" x14ac:dyDescent="0.3">
      <c r="A72" s="10" t="s">
        <v>324</v>
      </c>
      <c r="B72" s="10" t="s">
        <v>325</v>
      </c>
      <c r="C72" s="10" t="s">
        <v>326</v>
      </c>
      <c r="D72" s="10" t="s">
        <v>327</v>
      </c>
    </row>
    <row r="73" spans="1:5" x14ac:dyDescent="0.3">
      <c r="A73" t="s">
        <v>136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328</v>
      </c>
      <c r="B74">
        <v>12</v>
      </c>
      <c r="C74">
        <v>24.5</v>
      </c>
      <c r="D74">
        <v>12.5</v>
      </c>
    </row>
    <row r="75" spans="1:5" x14ac:dyDescent="0.3">
      <c r="A75" t="s">
        <v>329</v>
      </c>
      <c r="B75">
        <v>12</v>
      </c>
      <c r="C75">
        <v>24.6</v>
      </c>
      <c r="D75">
        <v>12.6</v>
      </c>
    </row>
    <row r="76" spans="1:5" x14ac:dyDescent="0.3">
      <c r="A76" t="s">
        <v>330</v>
      </c>
      <c r="B76">
        <v>13</v>
      </c>
      <c r="C76">
        <v>24.3</v>
      </c>
      <c r="D76">
        <v>11.3</v>
      </c>
    </row>
    <row r="77" spans="1:5" x14ac:dyDescent="0.3">
      <c r="A77" t="s">
        <v>331</v>
      </c>
      <c r="B77">
        <v>15</v>
      </c>
      <c r="C77">
        <v>25.8</v>
      </c>
      <c r="D77">
        <v>10.8</v>
      </c>
    </row>
    <row r="78" spans="1:5" x14ac:dyDescent="0.3">
      <c r="A78" t="s">
        <v>332</v>
      </c>
      <c r="B78">
        <v>15.3</v>
      </c>
      <c r="C78">
        <v>26.4</v>
      </c>
      <c r="D78">
        <v>11.1</v>
      </c>
    </row>
    <row r="79" spans="1:5" x14ac:dyDescent="0.3">
      <c r="A79" t="s">
        <v>333</v>
      </c>
      <c r="B79">
        <v>15.3</v>
      </c>
      <c r="C79">
        <v>28.5</v>
      </c>
      <c r="D79">
        <v>13.2</v>
      </c>
    </row>
    <row r="80" spans="1:5" x14ac:dyDescent="0.3">
      <c r="A80" t="s">
        <v>334</v>
      </c>
      <c r="B80">
        <v>15.6</v>
      </c>
      <c r="C80">
        <v>27.1</v>
      </c>
      <c r="D80">
        <v>11.5</v>
      </c>
    </row>
    <row r="81" spans="1:14" x14ac:dyDescent="0.3">
      <c r="A81" t="s">
        <v>335</v>
      </c>
      <c r="B81">
        <v>15.6</v>
      </c>
      <c r="C81">
        <v>26</v>
      </c>
      <c r="D81">
        <v>10.4</v>
      </c>
    </row>
    <row r="82" spans="1:14" x14ac:dyDescent="0.3">
      <c r="A82" t="s">
        <v>336</v>
      </c>
      <c r="B82">
        <v>15.8</v>
      </c>
      <c r="C82">
        <v>25.6</v>
      </c>
      <c r="D82">
        <v>9.8000000000000007</v>
      </c>
    </row>
    <row r="83" spans="1:14" x14ac:dyDescent="0.3">
      <c r="A83" t="s">
        <v>337</v>
      </c>
      <c r="B83">
        <v>17.7</v>
      </c>
      <c r="C83">
        <v>29.1</v>
      </c>
      <c r="D83">
        <v>11.4</v>
      </c>
    </row>
    <row r="84" spans="1:14" x14ac:dyDescent="0.3">
      <c r="A84" t="s">
        <v>338</v>
      </c>
      <c r="B84">
        <v>18.100000000000001</v>
      </c>
      <c r="C84">
        <v>31.7</v>
      </c>
      <c r="D84">
        <v>13.6</v>
      </c>
    </row>
    <row r="85" spans="1:14" x14ac:dyDescent="0.3">
      <c r="A85" t="s">
        <v>339</v>
      </c>
      <c r="B85">
        <v>18.399999999999999</v>
      </c>
      <c r="C85">
        <v>31.1</v>
      </c>
      <c r="D85">
        <v>12.7</v>
      </c>
    </row>
    <row r="86" spans="1:14" x14ac:dyDescent="0.3">
      <c r="A86" t="s">
        <v>340</v>
      </c>
      <c r="B86">
        <v>19.3</v>
      </c>
      <c r="C86">
        <v>29.4</v>
      </c>
      <c r="D86">
        <v>10.1</v>
      </c>
    </row>
    <row r="87" spans="1:14" x14ac:dyDescent="0.3">
      <c r="A87" t="s">
        <v>341</v>
      </c>
      <c r="B87">
        <v>19.3</v>
      </c>
      <c r="C87">
        <v>32.200000000000003</v>
      </c>
      <c r="D87">
        <v>12.9</v>
      </c>
    </row>
    <row r="90" spans="1:14" ht="18.5" x14ac:dyDescent="0.45">
      <c r="A90" s="48" t="s">
        <v>375</v>
      </c>
    </row>
    <row r="91" spans="1:14" x14ac:dyDescent="0.3">
      <c r="A91" s="10" t="s">
        <v>268</v>
      </c>
      <c r="B91" s="10" t="s">
        <v>269</v>
      </c>
      <c r="C91" s="10" t="s">
        <v>270</v>
      </c>
      <c r="D91" s="10" t="s">
        <v>271</v>
      </c>
      <c r="E91" s="10" t="s">
        <v>272</v>
      </c>
      <c r="F91" s="10" t="s">
        <v>273</v>
      </c>
      <c r="G91" s="10" t="s">
        <v>274</v>
      </c>
      <c r="H91" s="10" t="s">
        <v>275</v>
      </c>
      <c r="I91" s="10" t="s">
        <v>276</v>
      </c>
      <c r="J91" s="10" t="s">
        <v>277</v>
      </c>
      <c r="K91" s="10" t="s">
        <v>278</v>
      </c>
      <c r="L91" s="10" t="s">
        <v>279</v>
      </c>
      <c r="M91" s="10" t="s">
        <v>280</v>
      </c>
      <c r="N91" s="10" t="s">
        <v>281</v>
      </c>
    </row>
    <row r="92" spans="1:14" x14ac:dyDescent="0.3">
      <c r="A92" t="s">
        <v>225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226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227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228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229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230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231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232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233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234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235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236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237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238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239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240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241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242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243</v>
      </c>
      <c r="B110">
        <v>1</v>
      </c>
      <c r="C110">
        <v>5.2109598251807044E-3</v>
      </c>
    </row>
    <row r="111" spans="1:14" x14ac:dyDescent="0.3">
      <c r="A111" t="s">
        <v>244</v>
      </c>
      <c r="B111">
        <v>1</v>
      </c>
    </row>
    <row r="114" spans="1:4" ht="18.5" x14ac:dyDescent="0.45">
      <c r="A114" s="48" t="s">
        <v>376</v>
      </c>
    </row>
    <row r="115" spans="1:4" x14ac:dyDescent="0.3">
      <c r="A115" s="10" t="s">
        <v>210</v>
      </c>
      <c r="B115" s="10" t="s">
        <v>206</v>
      </c>
      <c r="C115" s="10" t="s">
        <v>211</v>
      </c>
    </row>
    <row r="116" spans="1:4" x14ac:dyDescent="0.3">
      <c r="A116" t="s">
        <v>108</v>
      </c>
      <c r="B116" s="49">
        <v>96478</v>
      </c>
      <c r="C116" s="55">
        <f>B116/SUM($B$116:$B$120)</f>
        <v>0.97020343721402635</v>
      </c>
    </row>
    <row r="117" spans="1:4" x14ac:dyDescent="0.3">
      <c r="A117" t="s">
        <v>212</v>
      </c>
      <c r="B117" s="49">
        <v>1107</v>
      </c>
      <c r="C117" s="55">
        <f>B117/SUM($B$116:$B$120)</f>
        <v>1.1132229161010046E-2</v>
      </c>
    </row>
    <row r="118" spans="1:4" x14ac:dyDescent="0.3">
      <c r="A118" t="s">
        <v>213</v>
      </c>
      <c r="B118" s="49">
        <v>625</v>
      </c>
      <c r="C118" s="55">
        <f>B118/SUM($B$116:$B$120)</f>
        <v>6.2851338984925738E-3</v>
      </c>
    </row>
    <row r="119" spans="1:4" x14ac:dyDescent="0.3">
      <c r="A119" t="s">
        <v>214</v>
      </c>
      <c r="B119" s="49">
        <v>609</v>
      </c>
      <c r="C119" s="55">
        <f>B119/SUM($B$116:$B$120)</f>
        <v>6.1242344706911632E-3</v>
      </c>
    </row>
    <row r="120" spans="1:4" x14ac:dyDescent="0.3">
      <c r="A120" t="s">
        <v>215</v>
      </c>
      <c r="B120" s="49">
        <v>622</v>
      </c>
      <c r="C120" s="55">
        <f>B120/SUM($B$116:$B$120)</f>
        <v>6.2549652557798091E-3</v>
      </c>
    </row>
    <row r="123" spans="1:4" ht="18.5" x14ac:dyDescent="0.45">
      <c r="A123" s="48" t="s">
        <v>377</v>
      </c>
    </row>
    <row r="124" spans="1:4" x14ac:dyDescent="0.3">
      <c r="A124" s="10" t="s">
        <v>217</v>
      </c>
      <c r="B124" s="10" t="s">
        <v>206</v>
      </c>
      <c r="C124" s="10" t="s">
        <v>211</v>
      </c>
      <c r="D124" s="10" t="s">
        <v>218</v>
      </c>
    </row>
    <row r="125" spans="1:4" x14ac:dyDescent="0.3">
      <c r="A125" t="s">
        <v>168</v>
      </c>
      <c r="B125" s="49">
        <v>76505</v>
      </c>
      <c r="C125" s="55">
        <f>B125/SUM($B$125:$B$128)</f>
        <v>0.75238732138115516</v>
      </c>
      <c r="D125" s="54">
        <v>3.51</v>
      </c>
    </row>
    <row r="126" spans="1:4" x14ac:dyDescent="0.3">
      <c r="A126" t="s">
        <v>219</v>
      </c>
      <c r="B126" s="49">
        <v>19784</v>
      </c>
      <c r="C126" s="55">
        <f>B126/SUM($B$125:$B$128)</f>
        <v>0.19456546325344454</v>
      </c>
      <c r="D126" s="54">
        <v>1</v>
      </c>
    </row>
    <row r="127" spans="1:4" x14ac:dyDescent="0.3">
      <c r="A127" t="s">
        <v>220</v>
      </c>
      <c r="B127" s="49">
        <v>3866</v>
      </c>
      <c r="C127" s="55">
        <f>B127/SUM($B$125:$B$128)</f>
        <v>3.8020121357552394E-2</v>
      </c>
      <c r="D127" s="54">
        <v>1</v>
      </c>
    </row>
    <row r="128" spans="1:4" x14ac:dyDescent="0.3">
      <c r="A128" t="s">
        <v>221</v>
      </c>
      <c r="B128" s="49">
        <v>1528</v>
      </c>
      <c r="C128" s="55">
        <f>B128/SUM($B$125:$B$128)</f>
        <v>1.502709400784792E-2</v>
      </c>
      <c r="D128" s="54">
        <v>1</v>
      </c>
    </row>
    <row r="131" spans="1:2" ht="18.5" x14ac:dyDescent="0.45">
      <c r="A131" s="48" t="s">
        <v>378</v>
      </c>
    </row>
    <row r="132" spans="1:2" x14ac:dyDescent="0.3">
      <c r="A132" s="10" t="s">
        <v>192</v>
      </c>
      <c r="B132" s="10" t="s">
        <v>379</v>
      </c>
    </row>
    <row r="133" spans="1:2" x14ac:dyDescent="0.3">
      <c r="A133" t="s">
        <v>380</v>
      </c>
      <c r="B133" s="49">
        <f>VLOOKUP("At Risk",$A$54:$G$59,2,FALSE)</f>
        <v>21975</v>
      </c>
    </row>
    <row r="134" spans="1:2" x14ac:dyDescent="0.3">
      <c r="A134" t="s">
        <v>381</v>
      </c>
      <c r="B134" s="51">
        <f>VLOOKUP("At Risk",$A$54:$G$59,6,FALSE)</f>
        <v>213.4</v>
      </c>
    </row>
    <row r="135" spans="1:2" x14ac:dyDescent="0.3">
      <c r="A135" t="s">
        <v>382</v>
      </c>
      <c r="B135" s="51">
        <f>VLOOKUP("7-10 installments",$A$64:$E$68,3,FALSE)</f>
        <v>333.83</v>
      </c>
    </row>
    <row r="136" spans="1:2" x14ac:dyDescent="0.3">
      <c r="A136" t="s">
        <v>383</v>
      </c>
      <c r="B136" s="51">
        <f>VLOOKUP("1 (single)",$A$64:$E$68,3,FALSE)</f>
        <v>95.87</v>
      </c>
    </row>
    <row r="137" spans="1:2" x14ac:dyDescent="0.3">
      <c r="A137" t="s">
        <v>384</v>
      </c>
      <c r="B137" s="49">
        <f>B133*0.2*B134*0.5</f>
        <v>468946.5</v>
      </c>
    </row>
    <row r="138" spans="1:2" x14ac:dyDescent="0.3">
      <c r="A138" t="s">
        <v>385</v>
      </c>
      <c r="B138" s="52">
        <f>B135/B136</f>
        <v>3.4821111922394907</v>
      </c>
    </row>
    <row r="139" spans="1:2" x14ac:dyDescent="0.3">
      <c r="A139" t="s">
        <v>10</v>
      </c>
      <c r="B139" s="53">
        <f>_xlfn.XLOOKUP("Cross-month repeat rate",$A$3:$A$18,$B$3:$B$18)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2026-05-07T20:29:19Z</dcterms:created>
  <dcterms:modified xsi:type="dcterms:W3CDTF">2026-05-07T20:29:23Z</dcterms:modified>
</cp:coreProperties>
</file>