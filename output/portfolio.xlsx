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B4E0A104-C195-4500-B85A-EF303FE60A08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TOC" sheetId="2" r:id="rId2"/>
    <sheet name="03_Data_Dictionary" sheetId="3" r:id="rId3"/>
    <sheet name="04_Brief" sheetId="4" r:id="rId4"/>
    <sheet name="05_KPI_Dashboard" sheetId="5" r:id="rId5"/>
    <sheet name="06_Revenue_Trend" sheetId="6" r:id="rId6"/>
    <sheet name="07_RFM_Segments" sheetId="7" r:id="rId7"/>
    <sheet name="08_Cohort_Heatmap" sheetId="8" r:id="rId8"/>
    <sheet name="09_ROI_Calculator" sheetId="9" r:id="rId9"/>
    <sheet name="10_Installments" sheetId="10" r:id="rId10"/>
    <sheet name="11_Logistics" sheetId="11" r:id="rId11"/>
    <sheet name="12_Pivot_Analysis" sheetId="12" r:id="rId12"/>
    <sheet name="_data_calc" sheetId="13" state="hidden" r:id="rId13"/>
  </sheets>
  <definedNames>
    <definedName name="ARPU">'09_ROI_Calculator'!$C$8</definedName>
    <definedName name="At_Risk_Count">'09_ROI_Calculator'!$C$7</definedName>
    <definedName name="CRM_Cost">'09_ROI_Calculator'!$C$10</definedName>
    <definedName name="Repeat_Spend">'09_ROI_Calculator'!$C$9</definedName>
  </definedNames>
  <calcPr calcId="191029"/>
  <pivotCaches>
    <pivotCache cacheId="4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3" l="1"/>
  <c r="C11" i="1" s="1"/>
  <c r="B136" i="13"/>
  <c r="B135" i="13"/>
  <c r="B138" i="13" s="1"/>
  <c r="D11" i="1" s="1"/>
  <c r="B134" i="13"/>
  <c r="B133" i="13"/>
  <c r="B137" i="13" s="1"/>
  <c r="B11" i="1" s="1"/>
  <c r="C128" i="13"/>
  <c r="D39" i="5" s="1"/>
  <c r="C127" i="13"/>
  <c r="C126" i="13"/>
  <c r="C125" i="13"/>
  <c r="C120" i="13"/>
  <c r="C119" i="13"/>
  <c r="D30" i="5" s="1"/>
  <c r="C118" i="13"/>
  <c r="D29" i="5" s="1"/>
  <c r="C117" i="13"/>
  <c r="C116" i="13"/>
  <c r="E12" i="12"/>
  <c r="D12" i="12"/>
  <c r="C12" i="12"/>
  <c r="E11" i="12"/>
  <c r="D11" i="12"/>
  <c r="C11" i="12"/>
  <c r="E10" i="12"/>
  <c r="D10" i="12"/>
  <c r="C10" i="12"/>
  <c r="E9" i="12"/>
  <c r="D9" i="12"/>
  <c r="C9" i="12"/>
  <c r="E8" i="12"/>
  <c r="D8" i="12"/>
  <c r="C8" i="12"/>
  <c r="E20" i="11"/>
  <c r="D20" i="11"/>
  <c r="C20" i="11"/>
  <c r="B20" i="11"/>
  <c r="E19" i="11"/>
  <c r="D19" i="11"/>
  <c r="C19" i="11"/>
  <c r="B19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E10" i="11"/>
  <c r="D10" i="11"/>
  <c r="C10" i="11"/>
  <c r="B10" i="11"/>
  <c r="E9" i="11"/>
  <c r="D9" i="11"/>
  <c r="C9" i="11"/>
  <c r="B9" i="11"/>
  <c r="E8" i="11"/>
  <c r="D8" i="11"/>
  <c r="C8" i="11"/>
  <c r="B8" i="11"/>
  <c r="E7" i="11"/>
  <c r="D7" i="11"/>
  <c r="C7" i="11"/>
  <c r="B7" i="11"/>
  <c r="E6" i="11"/>
  <c r="D6" i="11"/>
  <c r="C6" i="11"/>
  <c r="B6" i="11"/>
  <c r="F10" i="10"/>
  <c r="E10" i="10"/>
  <c r="D10" i="10"/>
  <c r="C10" i="10"/>
  <c r="B10" i="10"/>
  <c r="F9" i="10"/>
  <c r="E9" i="10"/>
  <c r="D9" i="10"/>
  <c r="C9" i="10"/>
  <c r="B9" i="10"/>
  <c r="F8" i="10"/>
  <c r="E8" i="10"/>
  <c r="D8" i="10"/>
  <c r="C8" i="10"/>
  <c r="B8" i="10"/>
  <c r="F7" i="10"/>
  <c r="E7" i="10"/>
  <c r="D7" i="10"/>
  <c r="C7" i="10"/>
  <c r="B7" i="10"/>
  <c r="F6" i="10"/>
  <c r="E6" i="10"/>
  <c r="D6" i="10"/>
  <c r="C6" i="10"/>
  <c r="B6" i="10"/>
  <c r="G18" i="9"/>
  <c r="F18" i="9"/>
  <c r="F20" i="9" s="1"/>
  <c r="E18" i="9"/>
  <c r="E20" i="9" s="1"/>
  <c r="D18" i="9"/>
  <c r="D20" i="9" s="1"/>
  <c r="G17" i="9"/>
  <c r="G20" i="9" s="1"/>
  <c r="F17" i="9"/>
  <c r="F19" i="9" s="1"/>
  <c r="E17" i="9"/>
  <c r="E19" i="9" s="1"/>
  <c r="D17" i="9"/>
  <c r="D19" i="9" s="1"/>
  <c r="G16" i="9"/>
  <c r="F16" i="9"/>
  <c r="E16" i="9"/>
  <c r="D16" i="9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H11" i="7"/>
  <c r="G11" i="7"/>
  <c r="F11" i="7"/>
  <c r="E11" i="7"/>
  <c r="D11" i="7"/>
  <c r="C11" i="7"/>
  <c r="H10" i="7"/>
  <c r="G10" i="7"/>
  <c r="F10" i="7"/>
  <c r="E10" i="7"/>
  <c r="D10" i="7"/>
  <c r="C10" i="7"/>
  <c r="H9" i="7"/>
  <c r="G9" i="7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D7" i="7"/>
  <c r="C7" i="7"/>
  <c r="H6" i="7"/>
  <c r="G6" i="7"/>
  <c r="F6" i="7"/>
  <c r="E6" i="7"/>
  <c r="D6" i="7"/>
  <c r="C6" i="7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E39" i="5"/>
  <c r="C39" i="5"/>
  <c r="E38" i="5"/>
  <c r="D38" i="5"/>
  <c r="C38" i="5"/>
  <c r="E37" i="5"/>
  <c r="D37" i="5"/>
  <c r="C37" i="5"/>
  <c r="E36" i="5"/>
  <c r="D36" i="5"/>
  <c r="C36" i="5"/>
  <c r="D31" i="5"/>
  <c r="C31" i="5"/>
  <c r="C30" i="5"/>
  <c r="C29" i="5"/>
  <c r="D28" i="5"/>
  <c r="C28" i="5"/>
  <c r="D27" i="5"/>
  <c r="C27" i="5"/>
  <c r="F22" i="5"/>
  <c r="E22" i="5"/>
  <c r="D22" i="5"/>
  <c r="C22" i="5"/>
  <c r="B22" i="5"/>
  <c r="F21" i="5"/>
  <c r="E21" i="5"/>
  <c r="D21" i="5"/>
  <c r="C21" i="5"/>
  <c r="B21" i="5"/>
  <c r="F20" i="5"/>
  <c r="E20" i="5"/>
  <c r="D20" i="5"/>
  <c r="C20" i="5"/>
  <c r="B20" i="5"/>
  <c r="C15" i="5"/>
  <c r="C14" i="5"/>
  <c r="C13" i="5"/>
  <c r="C12" i="5"/>
  <c r="C11" i="5"/>
  <c r="C10" i="5"/>
  <c r="C9" i="5"/>
  <c r="C8" i="5"/>
  <c r="C7" i="5"/>
  <c r="G19" i="9" l="1"/>
</calcChain>
</file>

<file path=xl/sharedStrings.xml><?xml version="1.0" encoding="utf-8"?>
<sst xmlns="http://schemas.openxmlformats.org/spreadsheetml/2006/main" count="980" uniqueCount="601">
  <si>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</si>
  <si>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</si>
  <si>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</si>
  <si>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</si>
  <si>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</si>
  <si>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</si>
  <si>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</si>
  <si>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</si>
  <si>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</si>
  <si>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</si>
  <si>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</si>
  <si>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</si>
  <si>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</si>
  <si>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</si>
  <si>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</si>
  <si>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LIVE LINKS</t>
  </si>
  <si>
    <t>Resource</t>
  </si>
  <si>
    <t>URL</t>
  </si>
  <si>
    <t>What you'll find</t>
  </si>
  <si>
    <t>Streamlit App</t>
  </si>
  <si>
    <t>https://olist-jenho.streamlit.app/</t>
  </si>
  <si>
    <t>Interactive 5-page dashboard with ROI calculator</t>
  </si>
  <si>
    <t>HTML Dashboard</t>
  </si>
  <si>
    <t>https://kengkeng44.github.io/olist-project/</t>
  </si>
  <si>
    <t>Static GitHub Pages site</t>
  </si>
  <si>
    <t>Tableau Public</t>
  </si>
  <si>
    <t>https://public.tableau.com/app/profile/jenho.cheng/viz/2_17739060990590/1?publish=yes</t>
  </si>
  <si>
    <t>Tableau visualization</t>
  </si>
  <si>
    <t>GitHub Repo</t>
  </si>
  <si>
    <t>https://github.com/kengkeng44/olist-project</t>
  </si>
  <si>
    <t>Full source code + Notebook + SQL</t>
  </si>
  <si>
    <t>Pitch Deck (PDF)</t>
  </si>
  <si>
    <t>https://github.com/kengkeng44/olist-project/blob/master/slides/portfolio.pdf</t>
  </si>
  <si>
    <t>13-slide PM-style deck</t>
  </si>
  <si>
    <t>TECH STACK</t>
  </si>
  <si>
    <t>Python</t>
  </si>
  <si>
    <t>SQLite</t>
  </si>
  <si>
    <t>SQL (NTILE Window)</t>
  </si>
  <si>
    <t>pandas</t>
  </si>
  <si>
    <t>matplotlib</t>
  </si>
  <si>
    <t>Streamlit</t>
  </si>
  <si>
    <t>Tableau</t>
  </si>
  <si>
    <t>Table of Contents</t>
  </si>
  <si>
    <t>#</t>
  </si>
  <si>
    <t>Sheet</t>
  </si>
  <si>
    <t>What it shows</t>
  </si>
  <si>
    <t>01</t>
  </si>
  <si>
    <t>01_Cover</t>
  </si>
  <si>
    <t>Headline cards (formula-driven) + live links</t>
  </si>
  <si>
    <t>02</t>
  </si>
  <si>
    <t>02_TOC</t>
  </si>
  <si>
    <t>This page</t>
  </si>
  <si>
    <t>03</t>
  </si>
  <si>
    <t>03_Data_Dictionary</t>
  </si>
  <si>
    <t>9-table schema + 3-row samples</t>
  </si>
  <si>
    <t>04</t>
  </si>
  <si>
    <t>04_Brief</t>
  </si>
  <si>
    <t>Exec summary + core SQL (NTILE) + caveats + upgrade path</t>
  </si>
  <si>
    <t>05</t>
  </si>
  <si>
    <t>05_KPI_Dashboard</t>
  </si>
  <si>
    <t>Scale / Yearly KPIs / Status / Payment — XLOOKUP from _data_calc</t>
  </si>
  <si>
    <t>06</t>
  </si>
  <si>
    <t>06_Revenue_Trend</t>
  </si>
  <si>
    <t>Monthly revenue + line chart</t>
  </si>
  <si>
    <t>07</t>
  </si>
  <si>
    <t>07_RFM_Segments</t>
  </si>
  <si>
    <t>RFM segments (NTILE) + Pareto chart + icon set</t>
  </si>
  <si>
    <t>08</t>
  </si>
  <si>
    <t>08_Cohort_Heatmap</t>
  </si>
  <si>
    <t>13-month retention matrix with color scale</t>
  </si>
  <si>
    <t>09</t>
  </si>
  <si>
    <t>09_ROI_Calculator</t>
  </si>
  <si>
    <t>Live formulas + Named Ranges (At_Risk_Count / ARPU / …)</t>
  </si>
  <si>
    <t>10</t>
  </si>
  <si>
    <t>10_Installments</t>
  </si>
  <si>
    <t>AOV + repeat rate by installment bucket</t>
  </si>
  <si>
    <t>11</t>
  </si>
  <si>
    <t>11_Logistics</t>
  </si>
  <si>
    <t>State ETA gap with 3-color scale</t>
  </si>
  <si>
    <t>12</t>
  </si>
  <si>
    <t>12_Pivot_Analysis</t>
  </si>
  <si>
    <t>VLOOKUP / INDEX-MATCH / XLOOKUP demo + real PivotTable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</si>
  <si>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</si>
  <si>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</si>
  <si>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</si>
  <si>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</si>
  <si>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</si>
  <si>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</si>
  <si>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</si>
  <si>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</si>
  <si>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</si>
  <si>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</si>
  <si>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</si>
  <si>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</si>
  <si>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</si>
  <si>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</si>
  <si>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</si>
  <si>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</si>
  <si>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</si>
  <si>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</si>
  <si>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</si>
  <si>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</si>
  <si>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</si>
  <si>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</si>
  <si>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</si>
  <si>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</si>
  <si>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</si>
  <si>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</si>
  <si>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</si>
  <si>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</si>
  <si>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</si>
  <si>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</si>
  <si>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</si>
  <si>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</si>
  <si>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</si>
  <si>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</si>
  <si>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</si>
  <si>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</si>
  <si>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</si>
  <si>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</si>
  <si>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</si>
  <si>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</si>
  <si>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</si>
  <si>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</si>
  <si>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</si>
  <si>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</si>
  <si>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</si>
  <si>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</si>
  <si>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</si>
  <si>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</si>
  <si>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</si>
  <si>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</si>
  <si>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</si>
  <si>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</si>
  <si>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</si>
  <si>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</si>
  <si>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</si>
  <si>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</si>
  <si>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</si>
  <si>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</si>
  <si>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</si>
  <si>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</si>
  <si>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</si>
  <si>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</si>
  <si>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14409</t>
  </si>
  <si>
    <t>franca</t>
  </si>
  <si>
    <t>SP</t>
  </si>
  <si>
    <t>18955e83d337fd6b2def6b18a428ac77</t>
  </si>
  <si>
    <t>290c77bc529b7ac935b93aa66c333dc3</t>
  </si>
  <si>
    <t>09790</t>
  </si>
  <si>
    <t>sao bernardo do campo</t>
  </si>
  <si>
    <t>4e7b3e00288586ebd08712fdd0374a03</t>
  </si>
  <si>
    <t>060e732b5b29e8181a18229c7b0b2b5e</t>
  </si>
  <si>
    <t>01151</t>
  </si>
  <si>
    <t>sao paulo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</si>
  <si>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</si>
  <si>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</si>
  <si>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</si>
  <si>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</si>
  <si>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</si>
  <si>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</si>
  <si>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</si>
  <si>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</si>
  <si>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1</t>
  </si>
  <si>
    <t>4244733e06e7ecb4970a6e2683c13e61</t>
  </si>
  <si>
    <t>48436dade18ac8b2bce089ec2a041202</t>
  </si>
  <si>
    <t>2017-09-19 09:45:35</t>
  </si>
  <si>
    <t>58.90</t>
  </si>
  <si>
    <t>13.29</t>
  </si>
  <si>
    <t>00018f77f2f0320c557190d7a144bdd3</t>
  </si>
  <si>
    <t>e5f2d52b802189ee658865ca93d83a8f</t>
  </si>
  <si>
    <t>dd7ddc04e1b6c2c614352b383efe2d36</t>
  </si>
  <si>
    <t>2017-05-03 11:05:13</t>
  </si>
  <si>
    <t>239.90</t>
  </si>
  <si>
    <t>19.93</t>
  </si>
  <si>
    <t>000229ec398224ef6ca0657da4fc703e</t>
  </si>
  <si>
    <t>c777355d18b72b67abbeef9df44fd0fd</t>
  </si>
  <si>
    <t>5b51032eddd242adc84c38acab88f23d</t>
  </si>
  <si>
    <t>2018-01-18 14:48:30</t>
  </si>
  <si>
    <t>199.00</t>
  </si>
  <si>
    <t>17.87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</si>
  <si>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</si>
  <si>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</si>
  <si>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</si>
  <si>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</si>
  <si>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</si>
  <si>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</si>
  <si>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</si>
  <si>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8</t>
  </si>
  <si>
    <t>99.33</t>
  </si>
  <si>
    <t>a9810da82917af2d9aefd1278f1dcfa0</t>
  </si>
  <si>
    <t>24.39</t>
  </si>
  <si>
    <t>25e8ea4e93396b6fa0d3dd708e76c1bd</t>
  </si>
  <si>
    <t>65.71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</si>
  <si>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</si>
  <si>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</si>
  <si>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</si>
  <si>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</si>
  <si>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</si>
  <si>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</si>
  <si>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</si>
  <si>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7bc2406110b926393aa56f80a40eba40</t>
  </si>
  <si>
    <t>73fc7af87114b39712e6da79b0a377eb</t>
  </si>
  <si>
    <t>4</t>
  </si>
  <si>
    <t>2018-01-18 00:00:00</t>
  </si>
  <si>
    <t>2018-01-18 21:46:59</t>
  </si>
  <si>
    <t>80e641a11e56f04c1ad469d5645fdfde</t>
  </si>
  <si>
    <t>a548910a1c6147796b98fdf73dbeba33</t>
  </si>
  <si>
    <t>5</t>
  </si>
  <si>
    <t>2018-03-10 00:00:00</t>
  </si>
  <si>
    <t>2018-03-11 03:05:13</t>
  </si>
  <si>
    <t>228ce5500dc1d8e020d8d1322874b6f0</t>
  </si>
  <si>
    <t>f9e4b658b201a9f2ecdecbb34bed034b</t>
  </si>
  <si>
    <t>2018-02-17 00:00:00</t>
  </si>
  <si>
    <t>2018-02-18 14:36:24</t>
  </si>
  <si>
    <t>Brief &amp; Methodology</t>
  </si>
  <si>
    <t>Question</t>
  </si>
  <si>
    <t>Brazil's largest SMB marketplace (Olist, 12,000+ sellers) released 99K orders 2016–2018. Where can the platform unlock the biggest revenue lever next quarter?</t>
  </si>
  <si>
    <t>Method</t>
  </si>
  <si>
    <t>9-table SQLite schema · SQL Window Functions (NTILE) for RFM scoring · Cohort retention · Installment-bucket analysis · Quantified ROI scenarios.</t>
  </si>
  <si>
    <t>Finding 1 — Pareto</t>
  </si>
  <si>
    <t>Champions (16% of customers) + At-Risk (24%) drive 67% of revenue.</t>
  </si>
  <si>
    <t>Finding 2 — Retention crisis</t>
  </si>
  <si>
    <t>Cross-month repeat rate is 1.81%. Olist is acquisition-driven, not retention-driven.</t>
  </si>
  <si>
    <t>Finding 3 — Installments = hidden CRM</t>
  </si>
  <si>
    <t>7–10 installments customers: 3.48× ARPU, 65% higher repeat rate than single-payment.</t>
  </si>
  <si>
    <t>Recommendation</t>
  </si>
  <si>
    <t>Personalized win-back EDM to 21,975 At-Risk customers (≈ R$ 50K). 5% recall = R$ 117K (2.3× ROI). 20% = R$ 469K (9.4× ROI).</t>
  </si>
  <si>
    <t>Core SQL — RFM with NTILE window function</t>
  </si>
  <si>
    <t>WITH rfm_base AS (
    SELECT c.customer_unique_id,
           ROUND(JULIANDAY(MAX(snapshot)) - JULIANDAY(MAX(o.order_purchase_timestamp)),0) AS r_days,
           COUNT(DISTINCT o.order_id) AS f,
           ROUND(SUM(oi.price),2) AS m
    FROM orders o JOIN order_items oi USING(order_id)
                  JOIN customers c USING(customer_id)
    WHERE o.order_status='delivered' GROUP BY c.customer_unique_id
)
SELECT *,
    NTILE(5) OVER (ORDER BY r_days DESC) AS r,
    NTILE(5) OVER (ORDER BY f       ASC) AS f_score,
    NTILE(5) OVER (ORDER BY m       ASC) AS m_score
FROM rfm_base;</t>
  </si>
  <si>
    <t>Caveats</t>
  </si>
  <si>
    <t>• F dimension near-zero variance — segmentation effectively R × M.</t>
  </si>
  <si>
    <t>• 2018 data truncated at 2018-10 (post-Sep dip = cutoff, not decline).</t>
  </si>
  <si>
    <t>• Installments → AOV causality not established (needs A/B test).</t>
  </si>
  <si>
    <t>Upgrade path (manual Excel UI)</t>
  </si>
  <si>
    <t>• Power Query: Data → Get Data → From Folder → load each CSV as a Query.</t>
  </si>
  <si>
    <t>• Power Pivot: load Queries to Data Model. Build orders→customers, items→orders, payments→orders.</t>
  </si>
  <si>
    <t>• DAX: `Total Revenue := SUMX(items, items[price] + items[freight_value])`.</t>
  </si>
  <si>
    <t>• Dashboard: replace literals with `=CUBEVALUE("ThisWorkbookDataModel", "[Measures].[…]")`.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</si>
  <si>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</si>
  <si>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</si>
  <si>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</si>
  <si>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</si>
  <si>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</si>
  <si>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</si>
  <si>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</si>
  <si>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</si>
  <si>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</si>
  <si>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</si>
  <si>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</si>
  <si>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</si>
  <si>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</si>
  <si>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</si>
  <si>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</si>
  <si>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</si>
  <si>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</si>
  <si>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</si>
  <si>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</si>
  <si>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</si>
  <si>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</si>
  <si>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</si>
  <si>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</si>
  <si>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</si>
  <si>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</si>
  <si>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</si>
  <si>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</si>
  <si>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</si>
  <si>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</si>
  <si>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boleto</t>
  </si>
  <si>
    <t>voucher</t>
  </si>
  <si>
    <t>debit_card</t>
  </si>
  <si>
    <t>Monthly Revenue Trend (2017–2018)</t>
  </si>
  <si>
    <t>Month</t>
  </si>
  <si>
    <t>Revenue (R$)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</si>
  <si>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</si>
  <si>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</si>
  <si>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</si>
  <si>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</si>
  <si>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</si>
  <si>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</si>
  <si>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</si>
  <si>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</si>
  <si>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</si>
  <si>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</si>
  <si>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</si>
  <si>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</si>
  <si>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</si>
  <si>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</si>
  <si>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</si>
  <si>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</si>
  <si>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</si>
  <si>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</si>
  <si>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</si>
  <si>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</si>
  <si>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</si>
  <si>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</si>
  <si>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</si>
  <si>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</si>
  <si>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</si>
  <si>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</si>
  <si>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</si>
  <si>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</si>
  <si>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</si>
  <si>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</si>
  <si>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</si>
  <si>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</si>
  <si>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</si>
  <si>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</si>
  <si>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</si>
  <si>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</si>
  <si>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</si>
  <si>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</si>
  <si>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</si>
  <si>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</si>
  <si>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</si>
  <si>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Format</t>
  </si>
  <si>
    <t>Notes</t>
  </si>
  <si>
    <t>At-risk customers (segment size)</t>
  </si>
  <si>
    <t>#,##0</t>
  </si>
  <si>
    <t>From RFM analysis</t>
  </si>
  <si>
    <t>Avg ARPU per customer (R$)</t>
  </si>
  <si>
    <t>0</t>
  </si>
  <si>
    <t>Historical average for At-Risk segment</t>
  </si>
  <si>
    <t>Repeat-spend rate (% of ARPU on win-back order)</t>
  </si>
  <si>
    <t>0%</t>
  </si>
  <si>
    <t>Conservative: assumes win-back order = 50% of historical average</t>
  </si>
  <si>
    <t>Total CRM cost (R$)</t>
  </si>
  <si>
    <t>Email + discount voucher budget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</si>
  <si>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</si>
  <si>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</si>
  <si>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</si>
  <si>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</si>
  <si>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</si>
  <si>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</si>
  <si>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</si>
  <si>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</si>
  <si>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</si>
  <si>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</si>
  <si>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</si>
  <si>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</si>
  <si>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</si>
  <si>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</si>
  <si>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</si>
  <si>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</si>
  <si>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</si>
  <si>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</si>
  <si>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</si>
  <si>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</si>
  <si>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</si>
  <si>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</si>
  <si>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</si>
  <si>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</si>
  <si>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</si>
  <si>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Lookup &amp; Pivot Demo</t>
  </si>
  <si>
    <t>A. Lookup — PT category → EN (3 methods, same result)</t>
  </si>
  <si>
    <t>Source: tbl_category_translation</t>
  </si>
  <si>
    <t>PT name</t>
  </si>
  <si>
    <t>EN name</t>
  </si>
  <si>
    <t>PT input</t>
  </si>
  <si>
    <t>VLOOKUP result</t>
  </si>
  <si>
    <t>INDEX/MATCH result</t>
  </si>
  <si>
    <t>XLOOKUP result</t>
  </si>
  <si>
    <t>beleza_saude</t>
  </si>
  <si>
    <t>health_beauty</t>
  </si>
  <si>
    <t>informatica_acessorios</t>
  </si>
  <si>
    <t>computers_accessories</t>
  </si>
  <si>
    <t>automotivo</t>
  </si>
  <si>
    <t>auto</t>
  </si>
  <si>
    <t>cama_mesa_banho</t>
  </si>
  <si>
    <t>bed_bath_table</t>
  </si>
  <si>
    <t>moveis_decoracao</t>
  </si>
  <si>
    <t>furniture_decor</t>
  </si>
  <si>
    <t>esporte_lazer</t>
  </si>
  <si>
    <t>sports_leisure</t>
  </si>
  <si>
    <t>perfumaria</t>
  </si>
  <si>
    <t>perfumery</t>
  </si>
  <si>
    <t>When to use which</t>
  </si>
  <si>
    <t>utilidades_domesticas</t>
  </si>
  <si>
    <t>housewares</t>
  </si>
  <si>
    <t>Function</t>
  </si>
  <si>
    <t>Excel version</t>
  </si>
  <si>
    <t>When to use</t>
  </si>
  <si>
    <t>Trade-off</t>
  </si>
  <si>
    <t>telefonia</t>
  </si>
  <si>
    <t>telephony</t>
  </si>
  <si>
    <t>VLOOKUP</t>
  </si>
  <si>
    <t>Any (since 2007)</t>
  </si>
  <si>
    <t>Quick lookup when key is in the leftmost column of the source table</t>
  </si>
  <si>
    <t>Breaks if columns get reordered (col_index is positional)</t>
  </si>
  <si>
    <t>relogios_presentes</t>
  </si>
  <si>
    <t>watches_gifts</t>
  </si>
  <si>
    <t>INDEX/MATCH</t>
  </si>
  <si>
    <t>Any (since 1997)</t>
  </si>
  <si>
    <t>Universal fallback; key column can be anywhere in the source</t>
  </si>
  <si>
    <t>Slightly more verbose</t>
  </si>
  <si>
    <t>alimentos_bebidas</t>
  </si>
  <si>
    <t>food_drink</t>
  </si>
  <si>
    <t>XLOOKUP</t>
  </si>
  <si>
    <t>Excel 2021 / 365 only</t>
  </si>
  <si>
    <t>Modern default — readable, supports if_not_found, bidirectional</t>
  </si>
  <si>
    <t>Falls back to #NAME? on older Excel</t>
  </si>
  <si>
    <t>bebes</t>
  </si>
  <si>
    <t>baby</t>
  </si>
  <si>
    <t>papelaria</t>
  </si>
  <si>
    <t>stationery</t>
  </si>
  <si>
    <t>tablets_impressao_imagem</t>
  </si>
  <si>
    <t>tablets_printing_image</t>
  </si>
  <si>
    <t>brinquedos</t>
  </si>
  <si>
    <t>toys</t>
  </si>
  <si>
    <t>telefonia_fixa</t>
  </si>
  <si>
    <t>fixed_telephony</t>
  </si>
  <si>
    <t>ferramentas_jardim</t>
  </si>
  <si>
    <t>garden_tools</t>
  </si>
  <si>
    <t>B. Real PivotTable — orders by State × Payment Type</t>
  </si>
  <si>
    <t>Source: tbl_payments_long</t>
  </si>
  <si>
    <t>fashion_bolsas_e_acessorios</t>
  </si>
  <si>
    <t>fashion_bags_accessories</t>
  </si>
  <si>
    <t>Source: tbl_payments_long (right). PivotTable inserted at B27 by post-build script. Fields: State (rows), Payment type (columns), Orders (sum).</t>
  </si>
  <si>
    <t>eletroportateis</t>
  </si>
  <si>
    <t>small_appliances</t>
  </si>
  <si>
    <t>consoles_games</t>
  </si>
  <si>
    <t>audio</t>
  </si>
  <si>
    <t>fashion_calcados</t>
  </si>
  <si>
    <t>fashion_shoes</t>
  </si>
  <si>
    <t>cool_stuff</t>
  </si>
  <si>
    <t>malas_acessorios</t>
  </si>
  <si>
    <t>luggage_accessories</t>
  </si>
  <si>
    <t>climatizacao</t>
  </si>
  <si>
    <t>air_conditioning</t>
  </si>
  <si>
    <t>RJ</t>
  </si>
  <si>
    <t>construcao_ferramentas_construcao</t>
  </si>
  <si>
    <t>construction_tools_construction</t>
  </si>
  <si>
    <t>moveis_cozinha_area_de_servico_jantar_e_jardim</t>
  </si>
  <si>
    <t>kitchen_dining_laundry_garden_furniture</t>
  </si>
  <si>
    <t>construcao_ferramentas_jardim</t>
  </si>
  <si>
    <t>costruction_tools_garden</t>
  </si>
  <si>
    <t>fashion_roupa_masculina</t>
  </si>
  <si>
    <t>fashion_male_clothing</t>
  </si>
  <si>
    <t>MG</t>
  </si>
  <si>
    <t>pet_shop</t>
  </si>
  <si>
    <t>moveis_escritorio</t>
  </si>
  <si>
    <t>office_furniture</t>
  </si>
  <si>
    <t>market_place</t>
  </si>
  <si>
    <t>eletronicos</t>
  </si>
  <si>
    <t>electronics</t>
  </si>
  <si>
    <t>RS</t>
  </si>
  <si>
    <t>eletrodomesticos</t>
  </si>
  <si>
    <t>home_appliances</t>
  </si>
  <si>
    <t>artigos_de_festas</t>
  </si>
  <si>
    <t>party_supplies</t>
  </si>
  <si>
    <t>casa_conforto</t>
  </si>
  <si>
    <t>home_confort</t>
  </si>
  <si>
    <t>construcao_ferramentas_ferramentas</t>
  </si>
  <si>
    <t>costruction_tools_tools</t>
  </si>
  <si>
    <t>PR</t>
  </si>
  <si>
    <t>agro_industria_e_comercio</t>
  </si>
  <si>
    <t>agro_industry_and_commerce</t>
  </si>
  <si>
    <t>moveis_colchao_e_estofado</t>
  </si>
  <si>
    <t>furniture_mattress_and_upholstery</t>
  </si>
  <si>
    <t>livros_tecnicos</t>
  </si>
  <si>
    <t>books_technical</t>
  </si>
  <si>
    <t>casa_construcao</t>
  </si>
  <si>
    <t>home_construction</t>
  </si>
  <si>
    <t>SC</t>
  </si>
  <si>
    <t>instrumentos_musicais</t>
  </si>
  <si>
    <t>musical_instruments</t>
  </si>
  <si>
    <t>moveis_sala</t>
  </si>
  <si>
    <t>furniture_living_room</t>
  </si>
  <si>
    <t>construcao_ferramentas_iluminacao</t>
  </si>
  <si>
    <t>construction_tools_lights</t>
  </si>
  <si>
    <t>industria_comercio_e_negocios</t>
  </si>
  <si>
    <t>industry_commerce_and_business</t>
  </si>
  <si>
    <t>BA</t>
  </si>
  <si>
    <t>alimentos</t>
  </si>
  <si>
    <t>food</t>
  </si>
  <si>
    <t>artes</t>
  </si>
  <si>
    <t>art</t>
  </si>
  <si>
    <t>moveis_quarto</t>
  </si>
  <si>
    <t>furniture_bedroom</t>
  </si>
  <si>
    <t>livros_interesse_geral</t>
  </si>
  <si>
    <t>books_general_interest</t>
  </si>
  <si>
    <t>DF</t>
  </si>
  <si>
    <t>construcao_ferramentas_seguranca</t>
  </si>
  <si>
    <t>construction_tools_safety</t>
  </si>
  <si>
    <t>fashion_underwear_e_moda_praia</t>
  </si>
  <si>
    <t>fashion_underwear_beach</t>
  </si>
  <si>
    <t>fashion_esporte</t>
  </si>
  <si>
    <t>fashion_sport</t>
  </si>
  <si>
    <t>sinalizacao_e_seguranca</t>
  </si>
  <si>
    <t>signaling_and_security</t>
  </si>
  <si>
    <t>ES</t>
  </si>
  <si>
    <t>pcs</t>
  </si>
  <si>
    <t>computers</t>
  </si>
  <si>
    <t>artigos_de_natal</t>
  </si>
  <si>
    <t>christmas_supplies</t>
  </si>
  <si>
    <t>fashion_roupa_feminina</t>
  </si>
  <si>
    <t>fashio_female_clothing</t>
  </si>
  <si>
    <t>eletrodomesticos_2</t>
  </si>
  <si>
    <t>home_appliances_2</t>
  </si>
  <si>
    <t>GO</t>
  </si>
  <si>
    <t>livros_importados</t>
  </si>
  <si>
    <t>books_imported</t>
  </si>
  <si>
    <t>bebidas</t>
  </si>
  <si>
    <t>drinks</t>
  </si>
  <si>
    <t>cine_foto</t>
  </si>
  <si>
    <t>cine_photo</t>
  </si>
  <si>
    <t>la_cuisine</t>
  </si>
  <si>
    <t>PE</t>
  </si>
  <si>
    <t>musica</t>
  </si>
  <si>
    <t>music</t>
  </si>
  <si>
    <t>casa_conforto_2</t>
  </si>
  <si>
    <t>home_comfort_2</t>
  </si>
  <si>
    <t>portateis_casa_forno_e_cafe</t>
  </si>
  <si>
    <t>small_appliances_home_oven_and_coffee</t>
  </si>
  <si>
    <t>cds_dvds_musicais</t>
  </si>
  <si>
    <t>cds_dvds_musicals</t>
  </si>
  <si>
    <t>CE</t>
  </si>
  <si>
    <t>dvds_blu_ray</t>
  </si>
  <si>
    <t>flores</t>
  </si>
  <si>
    <t>flowers</t>
  </si>
  <si>
    <t>artes_e_artesanato</t>
  </si>
  <si>
    <t>arts_and_craftmanship</t>
  </si>
  <si>
    <t>fraldas_higiene</t>
  </si>
  <si>
    <t>diapers_and_hygiene</t>
  </si>
  <si>
    <t>PA</t>
  </si>
  <si>
    <t>fashion_roupa_infanto_juvenil</t>
  </si>
  <si>
    <t>fashion_childrens_clothes</t>
  </si>
  <si>
    <t>seguros_e_servicos</t>
  </si>
  <si>
    <t>security_and_services</t>
  </si>
  <si>
    <t>MT</t>
  </si>
  <si>
    <t>MA</t>
  </si>
  <si>
    <t>MS</t>
  </si>
  <si>
    <t>PB</t>
  </si>
  <si>
    <t>PI</t>
  </si>
  <si>
    <t>RN</t>
  </si>
  <si>
    <t>AL</t>
  </si>
  <si>
    <t>SE</t>
  </si>
  <si>
    <t>TO</t>
  </si>
  <si>
    <t>RO</t>
  </si>
  <si>
    <t>AM</t>
  </si>
  <si>
    <t>AC</t>
  </si>
  <si>
    <t>AP</t>
  </si>
  <si>
    <t>RR</t>
  </si>
  <si>
    <t>KPI Lookup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</si>
  <si>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</si>
  <si>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</si>
  <si>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</si>
  <si>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</si>
  <si>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</si>
  <si>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</si>
  <si>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</si>
  <si>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</si>
  <si>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</si>
  <si>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</si>
  <si>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</si>
  <si>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</si>
  <si>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</si>
  <si>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</si>
  <si>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</si>
  <si>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</si>
  <si>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</si>
  <si>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</si>
  <si>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</si>
  <si>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</si>
  <si>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</si>
  <si>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</si>
  <si>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</si>
  <si>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</si>
  <si>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</si>
  <si>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</si>
  <si>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</si>
  <si>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</si>
  <si>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</si>
  <si>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</si>
  <si>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</si>
  <si>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Segments</t>
  </si>
  <si>
    <t>Installments</t>
  </si>
  <si>
    <t>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</si>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</sst>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&quot;×&quot;"/>
  </numFmts>
  <fonts count="24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b/>
      <sz val="11"/>
      <color rgb="FF0563C1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10"/>
      <name val="Consolas"/>
    </font>
    <font>
      <sz val="10"/>
      <color rgb="FF000000"/>
      <name val="Calibri"/>
    </font>
    <font>
      <sz val="9"/>
      <name val="新細明體"/>
      <family val="3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Continuous" vertical="center" wrapText="1"/>
    </xf>
    <xf numFmtId="0" fontId="0" fillId="0" borderId="1" xfId="0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7" fillId="3" borderId="1" xfId="0" applyFont="1" applyFill="1" applyBorder="1" applyAlignment="1">
      <alignment vertical="top" wrapText="1"/>
    </xf>
    <xf numFmtId="0" fontId="7" fillId="0" borderId="0" xfId="0" applyFont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1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6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6" borderId="2" xfId="0" applyNumberFormat="1" applyFont="1" applyFill="1" applyBorder="1" applyAlignment="1">
      <alignment horizontal="center" vertical="center" wrapText="1"/>
    </xf>
    <xf numFmtId="9" fontId="18" fillId="6" borderId="2" xfId="0" applyNumberFormat="1" applyFont="1" applyFill="1" applyBorder="1" applyAlignment="1">
      <alignment horizontal="center" vertical="center" wrapText="1"/>
    </xf>
    <xf numFmtId="9" fontId="11" fillId="3" borderId="1" xfId="0" applyNumberFormat="1" applyFont="1" applyFill="1" applyBorder="1" applyAlignment="1">
      <alignment horizontal="center" vertical="center" wrapText="1"/>
    </xf>
    <xf numFmtId="9" fontId="11" fillId="6" borderId="1" xfId="0" applyNumberFormat="1" applyFont="1" applyFill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8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22" fillId="0" borderId="1" xfId="0" applyFont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3" fontId="0" fillId="0" borderId="0" xfId="0" applyNumberForma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'06_Revenue_Trend'!$B$6:$B$25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'06_Revenue_Trend'!$C$6:$C$25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25-471D-8DEA-0BADD20EC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'07_RFM_Segments'!$D$5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'07_RFM_Segments'!$B$6:$B$11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'07_RFM_Segments'!$D$6:$D$11</c:f>
              <c:numCache>
                <c:formatCode>0.0%</c:formatCode>
                <c:ptCount val="6"/>
                <c:pt idx="0">
                  <c:v>0.16200000000000001</c:v>
                </c:pt>
                <c:pt idx="1">
                  <c:v>0.23499999999999999</c:v>
                </c:pt>
                <c:pt idx="2">
                  <c:v>8.199999999999999E-2</c:v>
                </c:pt>
                <c:pt idx="3">
                  <c:v>0.2</c:v>
                </c:pt>
                <c:pt idx="4">
                  <c:v>0.156</c:v>
                </c:pt>
                <c:pt idx="5">
                  <c:v>0.16500000000000001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B-4273-9329-2C3EDA7A816D}"/>
            </c:ext>
          </c:extLst>
        </c:ser>
        <c:ser>
          <c:idx val="1"/>
          <c:order val="1"/>
          <c:tx>
            <c:strRef>
              <c:f>'07_RFM_Segments'!$F$5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'07_RFM_Segments'!$B$6:$B$11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'07_RFM_Segments'!$F$6:$F$11</c:f>
              <c:numCache>
                <c:formatCode>0.0%</c:formatCode>
                <c:ptCount val="6"/>
                <c:pt idx="0">
                  <c:v>0.314</c:v>
                </c:pt>
                <c:pt idx="1">
                  <c:v>0.35499999999999998</c:v>
                </c:pt>
                <c:pt idx="2">
                  <c:v>5.0999999999999997E-2</c:v>
                </c:pt>
                <c:pt idx="3">
                  <c:v>0.19</c:v>
                </c:pt>
                <c:pt idx="4">
                  <c:v>4.3999999999999997E-2</c:v>
                </c:pt>
                <c:pt idx="5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8B-4273-9329-2C3EDA7A8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'10_Installments'!$B$6:$B$10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'10_Installments'!$D$6:$D$10</c:f>
              <c:numCache>
                <c:formatCode>0</c:formatCode>
                <c:ptCount val="5"/>
                <c:pt idx="0">
                  <c:v>95.87</c:v>
                </c:pt>
                <c:pt idx="1">
                  <c:v>134.22999999999999</c:v>
                </c:pt>
                <c:pt idx="2">
                  <c:v>181.32</c:v>
                </c:pt>
                <c:pt idx="3">
                  <c:v>333.83</c:v>
                </c:pt>
                <c:pt idx="4">
                  <c:v>358.34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56-44F2-8360-7F5D93779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'10_Installments'!$B$6:$B$10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'10_Installments'!$F$6:$F$10</c:f>
              <c:numCache>
                <c:formatCode>0.00%</c:formatCode>
                <c:ptCount val="5"/>
                <c:pt idx="0">
                  <c:v>2.5100000000000001E-2</c:v>
                </c:pt>
                <c:pt idx="1">
                  <c:v>2.81E-2</c:v>
                </c:pt>
                <c:pt idx="2">
                  <c:v>3.1800000000000002E-2</c:v>
                </c:pt>
                <c:pt idx="3">
                  <c:v>4.1300000000000003E-2</c:v>
                </c:pt>
                <c:pt idx="4">
                  <c:v>4.1799999999999997E-2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CC-4C3E-8054-B491B8BC2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'11_Logistics'!$C$5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'11_Logistics'!$B$6:$B$20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'11_Logistics'!$C$6:$C$20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A8-4382-B19B-D4761611F7CF}"/>
            </c:ext>
          </c:extLst>
        </c:ser>
        <c:ser>
          <c:idx val="1"/>
          <c:order val="1"/>
          <c:tx>
            <c:strRef>
              <c:f>'11_Logistics'!$D$5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'11_Logistics'!$B$6:$B$20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'11_Logistics'!$D$6:$D$20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A8-4382-B19B-D4761611F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155376157411" createdVersion="8" refreshedVersion="8" minRefreshableVersion="3" recordCount="105" xr:uid="{B2522DB1-4050-43FC-8CE3-D51A740DAA67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936EA-9664-46FC-89F0-2430DF8307F5}" name="pt_state_payment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27:G56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C25">
  <autoFilter ref="B5:C25" xr:uid="{00000000-0009-0000-0100-000009000000}"/>
  <tableColumns count="2">
    <tableColumn id="2" xr3:uid="{00000000-0010-0000-0800-000002000000}" name="Month"/>
    <tableColumn id="3" xr3:uid="{00000000-0010-0000-0800-000003000000}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category_translation" displayName="tbl_category_translation" ref="N6:O77">
  <autoFilter ref="N6:O77" xr:uid="{00000000-0009-0000-0100-00000E000000}"/>
  <tableColumns count="2">
    <tableColumn id="14" xr3:uid="{00000000-0010-0000-0D00-00000E000000}" name="PT name"/>
    <tableColumn id="15" xr3:uid="{00000000-0010-0000-0D00-00000F000000}" name="EN 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lookup_methods" displayName="tbl_lookup_methods" ref="B15:E18">
  <autoFilter ref="B15:E18" xr:uid="{00000000-0009-0000-0100-00000F000000}"/>
  <tableColumns count="4">
    <tableColumn id="2" xr3:uid="{00000000-0010-0000-0E00-000002000000}" name="Function"/>
    <tableColumn id="3" xr3:uid="{00000000-0010-0000-0E00-000003000000}" name="Excel version"/>
    <tableColumn id="4" xr3:uid="{00000000-0010-0000-0E00-000004000000}" name="When to use"/>
    <tableColumn id="5" xr3:uid="{00000000-0010-0000-0E00-000005000000}" name="Trade-off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payments_long" displayName="tbl_payments_long" ref="J27:L132">
  <autoFilter ref="J27:L132" xr:uid="{00000000-0009-0000-0100-000010000000}"/>
  <tableColumns count="3">
    <tableColumn id="10" xr3:uid="{00000000-0010-0000-0F00-00000A000000}" name="State"/>
    <tableColumn id="11" xr3:uid="{00000000-0010-0000-0F00-00000B000000}" name="Payment type"/>
    <tableColumn id="12" xr3:uid="{00000000-0010-0000-0F00-00000C000000}" name="Ord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kpi_lookup" displayName="tbl_kpi_lookup" ref="A2:C18">
  <autoFilter ref="A2:C18" xr:uid="{00000000-0009-0000-0100-000011000000}"/>
  <tableColumns count="3">
    <tableColumn id="1" xr3:uid="{00000000-0010-0000-1000-000001000000}" name="Metric"/>
    <tableColumn id="2" xr3:uid="{00000000-0010-0000-1000-000002000000}" name="Value"/>
    <tableColumn id="3" xr3:uid="{00000000-0010-0000-1000-000003000000}" name="Forma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yearly" displayName="tbl_yearly" ref="A22:E25">
  <autoFilter ref="A22:E25" xr:uid="{00000000-0009-0000-0100-000012000000}"/>
  <tableColumns count="5">
    <tableColumn id="1" xr3:uid="{00000000-0010-0000-1100-000001000000}" name="Year"/>
    <tableColumn id="2" xr3:uid="{00000000-0010-0000-1100-000002000000}" name="GMV (R$ M)"/>
    <tableColumn id="3" xr3:uid="{00000000-0010-0000-1100-000003000000}" name="Orders"/>
    <tableColumn id="4" xr3:uid="{00000000-0010-0000-1100-000004000000}" name="Avg Review"/>
    <tableColumn id="5" xr3:uid="{00000000-0010-0000-1100-000005000000}" name="Avg Delivery (days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revenue" displayName="tbl_revenue" ref="A29:B49">
  <autoFilter ref="A29:B49" xr:uid="{00000000-0009-0000-0100-000013000000}"/>
  <tableColumns count="2">
    <tableColumn id="1" xr3:uid="{00000000-0010-0000-1200-000001000000}" name="Month"/>
    <tableColumn id="2" xr3:uid="{00000000-0010-0000-1200-000002000000}" name="Revenue (R$)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rfm" displayName="tbl_rfm" ref="A53:G59">
  <autoFilter ref="A53:G59" xr:uid="{00000000-0009-0000-0100-000014000000}"/>
  <tableColumns count="7">
    <tableColumn id="1" xr3:uid="{00000000-0010-0000-1300-000001000000}" name="Segment"/>
    <tableColumn id="2" xr3:uid="{00000000-0010-0000-1300-000002000000}" name="Customers"/>
    <tableColumn id="3" xr3:uid="{00000000-0010-0000-1300-000003000000}" name="Customer %"/>
    <tableColumn id="4" xr3:uid="{00000000-0010-0000-1300-000004000000}" name="Revenue (R$)"/>
    <tableColumn id="5" xr3:uid="{00000000-0010-0000-1300-000005000000}" name="Revenue %"/>
    <tableColumn id="6" xr3:uid="{00000000-0010-0000-1300-000006000000}" name="ARPU (R$)"/>
    <tableColumn id="7" xr3:uid="{00000000-0010-0000-1300-000007000000}" name="Avg Recency (d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installments" displayName="tbl_installments" ref="A63:E68">
  <autoFilter ref="A63:E68" xr:uid="{00000000-0009-0000-0100-000015000000}"/>
  <tableColumns count="5">
    <tableColumn id="1" xr3:uid="{00000000-0010-0000-1400-000001000000}" name="Bucket"/>
    <tableColumn id="2" xr3:uid="{00000000-0010-0000-1400-000002000000}" name="Orders"/>
    <tableColumn id="3" xr3:uid="{00000000-0010-0000-1400-000003000000}" name="Avg Ticket (R$)"/>
    <tableColumn id="4" xr3:uid="{00000000-0010-0000-1400-000004000000}" name="Customers"/>
    <tableColumn id="5" xr3:uid="{00000000-0010-0000-1400-000005000000}" name="Repeat Rat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logistics" displayName="tbl_logistics" ref="A72:D87">
  <autoFilter ref="A72:D87" xr:uid="{00000000-0009-0000-0100-000016000000}"/>
  <tableColumns count="4">
    <tableColumn id="1" xr3:uid="{00000000-0010-0000-1500-000001000000}" name="State"/>
    <tableColumn id="2" xr3:uid="{00000000-0010-0000-1500-000002000000}" name="Actual days"/>
    <tableColumn id="3" xr3:uid="{00000000-0010-0000-1500-000003000000}" name="Estimated days"/>
    <tableColumn id="4" xr3:uid="{00000000-0010-0000-1500-000004000000}" name="ETA gap (days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cohort" displayName="tbl_cohort" ref="A91:N111">
  <autoFilter ref="A91:N111" xr:uid="{00000000-0009-0000-0100-000017000000}"/>
  <tableColumns count="14">
    <tableColumn id="1" xr3:uid="{00000000-0010-0000-1600-000001000000}" name="Cohort"/>
    <tableColumn id="2" xr3:uid="{00000000-0010-0000-1600-000002000000}" name="M0"/>
    <tableColumn id="3" xr3:uid="{00000000-0010-0000-1600-000003000000}" name="M1"/>
    <tableColumn id="4" xr3:uid="{00000000-0010-0000-1600-000004000000}" name="M2"/>
    <tableColumn id="5" xr3:uid="{00000000-0010-0000-1600-000005000000}" name="M3"/>
    <tableColumn id="6" xr3:uid="{00000000-0010-0000-1600-000006000000}" name="M4"/>
    <tableColumn id="7" xr3:uid="{00000000-0010-0000-1600-000007000000}" name="M5"/>
    <tableColumn id="8" xr3:uid="{00000000-0010-0000-1600-000008000000}" name="M6"/>
    <tableColumn id="9" xr3:uid="{00000000-0010-0000-1600-000009000000}" name="M7"/>
    <tableColumn id="10" xr3:uid="{00000000-0010-0000-1600-00000A000000}" name="M8"/>
    <tableColumn id="11" xr3:uid="{00000000-0010-0000-1600-00000B000000}" name="M9"/>
    <tableColumn id="12" xr3:uid="{00000000-0010-0000-1600-00000C000000}" name="M10"/>
    <tableColumn id="13" xr3:uid="{00000000-0010-0000-1600-00000D000000}" name="M11"/>
    <tableColumn id="14" xr3:uid="{00000000-0010-0000-1600-00000E000000}" name="M12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status_raw" displayName="tbl_status_raw" ref="A115:C120">
  <autoFilter ref="A115:C120" xr:uid="{00000000-0009-0000-0100-000018000000}"/>
  <tableColumns count="3">
    <tableColumn id="1" xr3:uid="{00000000-0010-0000-1700-000001000000}" name="Status"/>
    <tableColumn id="2" xr3:uid="{00000000-0010-0000-1700-000002000000}" name="Orders"/>
    <tableColumn id="3" xr3:uid="{00000000-0010-0000-1700-000003000000}" name="Shar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payment_raw" displayName="tbl_payment_raw" ref="A124:D128">
  <autoFilter ref="A124:D128" xr:uid="{00000000-0009-0000-0100-000019000000}"/>
  <tableColumns count="4">
    <tableColumn id="1" xr3:uid="{00000000-0010-0000-1800-000001000000}" name="Payment type"/>
    <tableColumn id="2" xr3:uid="{00000000-0010-0000-1800-000002000000}" name="Orders"/>
    <tableColumn id="3" xr3:uid="{00000000-0010-0000-1800-000003000000}" name="Share"/>
    <tableColumn id="4" xr3:uid="{00000000-0010-0000-1800-000004000000}" name="Avg installments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headlines" displayName="tbl_headlines" ref="A132:B139">
  <autoFilter ref="A132:B139" xr:uid="{00000000-0009-0000-0100-00001A000000}"/>
  <tableColumns count="2">
    <tableColumn id="1" xr3:uid="{00000000-0010-0000-1900-000001000000}" name="Metric"/>
    <tableColumn id="2" xr3:uid="{00000000-0010-0000-1900-000002000000}" name="Formula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4.xml"/><Relationship Id="rId3" Type="http://schemas.openxmlformats.org/officeDocument/2006/relationships/table" Target="../tables/table19.xml"/><Relationship Id="rId7" Type="http://schemas.openxmlformats.org/officeDocument/2006/relationships/table" Target="../tables/table23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6" Type="http://schemas.openxmlformats.org/officeDocument/2006/relationships/table" Target="../tables/table22.xml"/><Relationship Id="rId5" Type="http://schemas.openxmlformats.org/officeDocument/2006/relationships/table" Target="../tables/table21.xml"/><Relationship Id="rId10" Type="http://schemas.openxmlformats.org/officeDocument/2006/relationships/table" Target="../tables/table26.xml"/><Relationship Id="rId4" Type="http://schemas.openxmlformats.org/officeDocument/2006/relationships/table" Target="../tables/table20.xml"/><Relationship Id="rId9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27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6" spans="2:5" ht="17" x14ac:dyDescent="0.4">
      <c r="B16" s="6" t="s">
        <v>15</v>
      </c>
    </row>
    <row r="17" spans="2:5" x14ac:dyDescent="0.3">
      <c r="B17" s="10" t="s">
        <v>16</v>
      </c>
      <c r="C17" s="10" t="s">
        <v>17</v>
      </c>
      <c r="D17" s="10" t="s">
        <v>18</v>
      </c>
    </row>
    <row r="18" spans="2:5" ht="29" x14ac:dyDescent="0.35">
      <c r="B18" s="14" t="s">
        <v>19</v>
      </c>
      <c r="C18" s="15" t="s">
        <v>20</v>
      </c>
      <c r="D18" s="16" t="s">
        <v>21</v>
      </c>
    </row>
    <row r="19" spans="2:5" ht="29" x14ac:dyDescent="0.35">
      <c r="B19" s="14" t="s">
        <v>22</v>
      </c>
      <c r="C19" s="15" t="s">
        <v>23</v>
      </c>
      <c r="D19" s="16" t="s">
        <v>24</v>
      </c>
    </row>
    <row r="20" spans="2:5" ht="58" x14ac:dyDescent="0.35">
      <c r="B20" s="14" t="s">
        <v>25</v>
      </c>
      <c r="C20" s="15" t="s">
        <v>26</v>
      </c>
      <c r="D20" s="16" t="s">
        <v>27</v>
      </c>
    </row>
    <row r="21" spans="2:5" ht="29" x14ac:dyDescent="0.35">
      <c r="B21" s="14" t="s">
        <v>28</v>
      </c>
      <c r="C21" s="15" t="s">
        <v>29</v>
      </c>
      <c r="D21" s="16" t="s">
        <v>30</v>
      </c>
    </row>
    <row r="22" spans="2:5" ht="58" x14ac:dyDescent="0.35">
      <c r="B22" s="14" t="s">
        <v>31</v>
      </c>
      <c r="C22" s="15" t="s">
        <v>32</v>
      </c>
      <c r="D22" s="16" t="s">
        <v>33</v>
      </c>
    </row>
    <row r="25" spans="2:5" ht="17" x14ac:dyDescent="0.4">
      <c r="B25" s="6" t="s">
        <v>34</v>
      </c>
    </row>
    <row r="26" spans="2:5" x14ac:dyDescent="0.3">
      <c r="B26" s="17" t="s">
        <v>35</v>
      </c>
      <c r="C26" s="17" t="s">
        <v>36</v>
      </c>
      <c r="D26" s="17" t="s">
        <v>37</v>
      </c>
      <c r="E26" s="17" t="s">
        <v>38</v>
      </c>
    </row>
    <row r="27" spans="2:5" x14ac:dyDescent="0.3">
      <c r="B27" s="17" t="s">
        <v>39</v>
      </c>
      <c r="C27" s="17" t="s">
        <v>40</v>
      </c>
      <c r="D27" s="17" t="s">
        <v>41</v>
      </c>
    </row>
  </sheetData>
  <phoneticPr fontId="23" type="noConversion"/>
  <hyperlinks>
    <hyperlink ref="C18" r:id="rId1" xr:uid="{00000000-0004-0000-0000-000000000000}"/>
    <hyperlink ref="C19" r:id="rId2" xr:uid="{00000000-0004-0000-0000-000001000000}"/>
    <hyperlink ref="C20" r:id="rId3" xr:uid="{00000000-0004-0000-0000-000002000000}"/>
    <hyperlink ref="C21" r:id="rId4" xr:uid="{00000000-0004-0000-0000-000003000000}"/>
    <hyperlink ref="C22" r:id="rId5" xr:uid="{00000000-0004-0000-0000-000004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17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6" customWidth="1"/>
    <col min="3" max="3" width="30" customWidth="1"/>
    <col min="4" max="4" width="56" customWidth="1"/>
    <col min="5" max="5" width="2" customWidth="1"/>
  </cols>
  <sheetData>
    <row r="2" spans="2:5" ht="23.5" x14ac:dyDescent="0.3">
      <c r="B2" s="18" t="s">
        <v>42</v>
      </c>
      <c r="C2" s="2"/>
      <c r="D2" s="2"/>
      <c r="E2" s="2"/>
    </row>
    <row r="5" spans="2:5" x14ac:dyDescent="0.3">
      <c r="B5" s="10" t="s">
        <v>43</v>
      </c>
      <c r="C5" s="10" t="s">
        <v>44</v>
      </c>
      <c r="D5" s="10" t="s">
        <v>45</v>
      </c>
    </row>
    <row r="6" spans="2:5" x14ac:dyDescent="0.3">
      <c r="B6" s="19" t="s">
        <v>46</v>
      </c>
      <c r="C6" s="20" t="s">
        <v>47</v>
      </c>
      <c r="D6" s="16" t="s">
        <v>48</v>
      </c>
    </row>
    <row r="7" spans="2:5" x14ac:dyDescent="0.3">
      <c r="B7" s="19" t="s">
        <v>49</v>
      </c>
      <c r="C7" s="20" t="s">
        <v>50</v>
      </c>
      <c r="D7" s="16" t="s">
        <v>51</v>
      </c>
    </row>
    <row r="8" spans="2:5" x14ac:dyDescent="0.3">
      <c r="B8" s="19" t="s">
        <v>52</v>
      </c>
      <c r="C8" s="20" t="s">
        <v>53</v>
      </c>
      <c r="D8" s="16" t="s">
        <v>54</v>
      </c>
    </row>
    <row r="9" spans="2:5" x14ac:dyDescent="0.3">
      <c r="B9" s="19" t="s">
        <v>55</v>
      </c>
      <c r="C9" s="20" t="s">
        <v>56</v>
      </c>
      <c r="D9" s="16" t="s">
        <v>57</v>
      </c>
    </row>
    <row r="10" spans="2:5" ht="29" x14ac:dyDescent="0.3">
      <c r="B10" s="19" t="s">
        <v>58</v>
      </c>
      <c r="C10" s="20" t="s">
        <v>59</v>
      </c>
      <c r="D10" s="16" t="s">
        <v>60</v>
      </c>
    </row>
    <row r="11" spans="2:5" x14ac:dyDescent="0.3">
      <c r="B11" s="19" t="s">
        <v>61</v>
      </c>
      <c r="C11" s="20" t="s">
        <v>62</v>
      </c>
      <c r="D11" s="16" t="s">
        <v>63</v>
      </c>
    </row>
    <row r="12" spans="2:5" x14ac:dyDescent="0.3">
      <c r="B12" s="19" t="s">
        <v>64</v>
      </c>
      <c r="C12" s="20" t="s">
        <v>65</v>
      </c>
      <c r="D12" s="16" t="s">
        <v>66</v>
      </c>
    </row>
    <row r="13" spans="2:5" x14ac:dyDescent="0.3">
      <c r="B13" s="19" t="s">
        <v>67</v>
      </c>
      <c r="C13" s="20" t="s">
        <v>68</v>
      </c>
      <c r="D13" s="16" t="s">
        <v>69</v>
      </c>
    </row>
    <row r="14" spans="2:5" x14ac:dyDescent="0.3">
      <c r="B14" s="19" t="s">
        <v>70</v>
      </c>
      <c r="C14" s="20" t="s">
        <v>71</v>
      </c>
      <c r="D14" s="16" t="s">
        <v>72</v>
      </c>
    </row>
    <row r="15" spans="2:5" x14ac:dyDescent="0.3">
      <c r="B15" s="19" t="s">
        <v>73</v>
      </c>
      <c r="C15" s="20" t="s">
        <v>74</v>
      </c>
      <c r="D15" s="16" t="s">
        <v>75</v>
      </c>
    </row>
    <row r="16" spans="2:5" x14ac:dyDescent="0.3">
      <c r="B16" s="19" t="s">
        <v>76</v>
      </c>
      <c r="C16" s="20" t="s">
        <v>77</v>
      </c>
      <c r="D16" s="16" t="s">
        <v>78</v>
      </c>
    </row>
    <row r="17" spans="2:4" ht="29" x14ac:dyDescent="0.3">
      <c r="B17" s="19" t="s">
        <v>79</v>
      </c>
      <c r="C17" s="20" t="s">
        <v>80</v>
      </c>
      <c r="D17" s="16" t="s">
        <v>81</v>
      </c>
    </row>
  </sheetData>
  <phoneticPr fontId="23" type="noConversion"/>
  <hyperlinks>
    <hyperlink ref="C6" location="'01_Cover'!A1" display="01_Cover" xr:uid="{00000000-0004-0000-0100-000000000000}"/>
    <hyperlink ref="C7" location="'02_TOC'!A1" display="02_TOC" xr:uid="{00000000-0004-0000-0100-000001000000}"/>
    <hyperlink ref="C8" location="'03_Data_Dictionary'!A1" display="03_Data_Dictionary" xr:uid="{00000000-0004-0000-0100-000002000000}"/>
    <hyperlink ref="C9" location="'04_Brief'!A1" display="04_Brief" xr:uid="{00000000-0004-0000-0100-000003000000}"/>
    <hyperlink ref="C10" location="'05_KPI_Dashboard'!A1" display="05_KPI_Dashboard" xr:uid="{00000000-0004-0000-0100-000004000000}"/>
    <hyperlink ref="C11" location="'06_Revenue_Trend'!A1" display="06_Revenue_Trend" xr:uid="{00000000-0004-0000-0100-000005000000}"/>
    <hyperlink ref="C12" location="'07_RFM_Segments'!A1" display="07_RFM_Segments" xr:uid="{00000000-0004-0000-0100-000006000000}"/>
    <hyperlink ref="C13" location="'08_Cohort_Heatmap'!A1" display="08_Cohort_Heatmap" xr:uid="{00000000-0004-0000-0100-000007000000}"/>
    <hyperlink ref="C14" location="'09_ROI_Calculator'!A1" display="09_ROI_Calculator" xr:uid="{00000000-0004-0000-0100-000008000000}"/>
    <hyperlink ref="C15" location="'10_Installments'!A1" display="10_Installments" xr:uid="{00000000-0004-0000-0100-000009000000}"/>
    <hyperlink ref="C16" location="'11_Logistics'!A1" display="11_Logistics" xr:uid="{00000000-0004-0000-0100-00000A000000}"/>
    <hyperlink ref="C17" location="'12_Pivot_Analysis'!A1" display="12_Pivot_Analysis" xr:uid="{00000000-0004-0000-0100-00000B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18" t="s">
        <v>82</v>
      </c>
      <c r="C2" s="2"/>
      <c r="D2" s="2"/>
      <c r="E2" s="2"/>
    </row>
    <row r="3" spans="2:5" x14ac:dyDescent="0.3">
      <c r="B3" s="21" t="s">
        <v>83</v>
      </c>
      <c r="C3" s="2"/>
      <c r="D3" s="2"/>
      <c r="E3" s="2"/>
    </row>
    <row r="5" spans="2:5" ht="17" x14ac:dyDescent="0.4">
      <c r="B5" s="6" t="s">
        <v>84</v>
      </c>
    </row>
    <row r="6" spans="2:5" x14ac:dyDescent="0.3">
      <c r="B6" s="10" t="s">
        <v>85</v>
      </c>
      <c r="C6" s="10" t="s">
        <v>86</v>
      </c>
      <c r="D6" s="10" t="s">
        <v>87</v>
      </c>
    </row>
    <row r="7" spans="2:5" ht="29" x14ac:dyDescent="0.3">
      <c r="B7" s="22" t="s">
        <v>88</v>
      </c>
      <c r="C7" s="23">
        <v>99441</v>
      </c>
      <c r="D7" s="16" t="s">
        <v>89</v>
      </c>
    </row>
    <row r="8" spans="2:5" ht="29" x14ac:dyDescent="0.3">
      <c r="B8" s="22" t="s">
        <v>90</v>
      </c>
      <c r="C8" s="23">
        <v>99441</v>
      </c>
      <c r="D8" s="16" t="s">
        <v>91</v>
      </c>
    </row>
    <row r="9" spans="2:5" ht="29" x14ac:dyDescent="0.3">
      <c r="B9" s="22" t="s">
        <v>92</v>
      </c>
      <c r="C9" s="23">
        <v>112650</v>
      </c>
      <c r="D9" s="16" t="s">
        <v>93</v>
      </c>
    </row>
    <row r="10" spans="2:5" ht="29" x14ac:dyDescent="0.3">
      <c r="B10" s="22" t="s">
        <v>94</v>
      </c>
      <c r="C10" s="23">
        <v>103886</v>
      </c>
      <c r="D10" s="16" t="s">
        <v>95</v>
      </c>
    </row>
    <row r="11" spans="2:5" x14ac:dyDescent="0.3">
      <c r="B11" s="22" t="s">
        <v>96</v>
      </c>
      <c r="C11" s="23">
        <v>104719</v>
      </c>
      <c r="D11" s="16" t="s">
        <v>97</v>
      </c>
    </row>
    <row r="12" spans="2:5" x14ac:dyDescent="0.3">
      <c r="B12" s="22" t="s">
        <v>98</v>
      </c>
      <c r="C12" s="23">
        <v>32951</v>
      </c>
      <c r="D12" s="16" t="s">
        <v>99</v>
      </c>
    </row>
    <row r="13" spans="2:5" x14ac:dyDescent="0.3">
      <c r="B13" s="22" t="s">
        <v>100</v>
      </c>
      <c r="C13" s="23">
        <v>3095</v>
      </c>
      <c r="D13" s="16" t="s">
        <v>101</v>
      </c>
    </row>
    <row r="14" spans="2:5" x14ac:dyDescent="0.3">
      <c r="B14" s="22" t="s">
        <v>102</v>
      </c>
      <c r="C14" s="23">
        <v>1000163</v>
      </c>
      <c r="D14" s="16" t="s">
        <v>103</v>
      </c>
    </row>
    <row r="15" spans="2:5" x14ac:dyDescent="0.3">
      <c r="B15" s="22" t="s">
        <v>104</v>
      </c>
      <c r="C15" s="23">
        <v>71</v>
      </c>
      <c r="D15" s="16" t="s">
        <v>105</v>
      </c>
    </row>
    <row r="18" spans="2:9" ht="17" x14ac:dyDescent="0.4">
      <c r="B18" s="6" t="s">
        <v>106</v>
      </c>
    </row>
    <row r="19" spans="2:9" ht="43.5" x14ac:dyDescent="0.3">
      <c r="B19" s="10" t="s">
        <v>107</v>
      </c>
      <c r="C19" s="10" t="s">
        <v>108</v>
      </c>
      <c r="D19" s="10" t="s">
        <v>109</v>
      </c>
      <c r="E19" s="10" t="s">
        <v>110</v>
      </c>
      <c r="F19" s="10" t="s">
        <v>111</v>
      </c>
      <c r="G19" s="10" t="s">
        <v>112</v>
      </c>
      <c r="H19" s="10" t="s">
        <v>113</v>
      </c>
      <c r="I19" s="10" t="s">
        <v>114</v>
      </c>
    </row>
    <row r="20" spans="2:9" ht="36" x14ac:dyDescent="0.3">
      <c r="B20" s="24" t="s">
        <v>115</v>
      </c>
      <c r="C20" s="24" t="s">
        <v>116</v>
      </c>
      <c r="D20" s="24" t="s">
        <v>117</v>
      </c>
      <c r="E20" s="24" t="s">
        <v>118</v>
      </c>
      <c r="F20" s="24" t="s">
        <v>119</v>
      </c>
      <c r="G20" s="24" t="s">
        <v>120</v>
      </c>
      <c r="H20" s="24" t="s">
        <v>121</v>
      </c>
      <c r="I20" s="24" t="s">
        <v>122</v>
      </c>
    </row>
    <row r="21" spans="2:9" ht="36" x14ac:dyDescent="0.3">
      <c r="B21" s="24" t="s">
        <v>123</v>
      </c>
      <c r="C21" s="24" t="s">
        <v>124</v>
      </c>
      <c r="D21" s="24" t="s">
        <v>117</v>
      </c>
      <c r="E21" s="24" t="s">
        <v>125</v>
      </c>
      <c r="F21" s="24" t="s">
        <v>126</v>
      </c>
      <c r="G21" s="24" t="s">
        <v>127</v>
      </c>
      <c r="H21" s="24" t="s">
        <v>128</v>
      </c>
      <c r="I21" s="24" t="s">
        <v>129</v>
      </c>
    </row>
    <row r="22" spans="2:9" ht="36" x14ac:dyDescent="0.3">
      <c r="B22" s="24" t="s">
        <v>130</v>
      </c>
      <c r="C22" s="24" t="s">
        <v>131</v>
      </c>
      <c r="D22" s="24" t="s">
        <v>117</v>
      </c>
      <c r="E22" s="24" t="s">
        <v>132</v>
      </c>
      <c r="F22" s="24" t="s">
        <v>133</v>
      </c>
      <c r="G22" s="24" t="s">
        <v>134</v>
      </c>
      <c r="H22" s="24" t="s">
        <v>135</v>
      </c>
      <c r="I22" s="24" t="s">
        <v>136</v>
      </c>
    </row>
    <row r="24" spans="2:9" ht="17" x14ac:dyDescent="0.4">
      <c r="B24" s="6" t="s">
        <v>137</v>
      </c>
    </row>
    <row r="25" spans="2:9" ht="29" x14ac:dyDescent="0.3">
      <c r="B25" s="10" t="s">
        <v>108</v>
      </c>
      <c r="C25" s="10" t="s">
        <v>138</v>
      </c>
      <c r="D25" s="10" t="s">
        <v>139</v>
      </c>
      <c r="E25" s="10" t="s">
        <v>140</v>
      </c>
      <c r="F25" s="10" t="s">
        <v>141</v>
      </c>
    </row>
    <row r="26" spans="2:9" ht="36" x14ac:dyDescent="0.3">
      <c r="B26" s="24" t="s">
        <v>142</v>
      </c>
      <c r="C26" s="24" t="s">
        <v>143</v>
      </c>
      <c r="D26" s="24" t="s">
        <v>144</v>
      </c>
      <c r="E26" s="24" t="s">
        <v>145</v>
      </c>
      <c r="F26" s="24" t="s">
        <v>146</v>
      </c>
    </row>
    <row r="27" spans="2:9" ht="36" x14ac:dyDescent="0.3">
      <c r="B27" s="24" t="s">
        <v>147</v>
      </c>
      <c r="C27" s="24" t="s">
        <v>148</v>
      </c>
      <c r="D27" s="24" t="s">
        <v>149</v>
      </c>
      <c r="E27" s="24" t="s">
        <v>150</v>
      </c>
      <c r="F27" s="24" t="s">
        <v>146</v>
      </c>
    </row>
    <row r="28" spans="2:9" ht="36" x14ac:dyDescent="0.3">
      <c r="B28" s="24" t="s">
        <v>151</v>
      </c>
      <c r="C28" s="24" t="s">
        <v>152</v>
      </c>
      <c r="D28" s="24" t="s">
        <v>153</v>
      </c>
      <c r="E28" s="24" t="s">
        <v>154</v>
      </c>
      <c r="F28" s="24" t="s">
        <v>146</v>
      </c>
    </row>
    <row r="30" spans="2:9" ht="17" x14ac:dyDescent="0.4">
      <c r="B30" s="6" t="s">
        <v>155</v>
      </c>
    </row>
    <row r="31" spans="2:9" ht="29" x14ac:dyDescent="0.3">
      <c r="B31" s="10" t="s">
        <v>107</v>
      </c>
      <c r="C31" s="10" t="s">
        <v>156</v>
      </c>
      <c r="D31" s="10" t="s">
        <v>157</v>
      </c>
      <c r="E31" s="10" t="s">
        <v>158</v>
      </c>
      <c r="F31" s="10" t="s">
        <v>159</v>
      </c>
      <c r="G31" s="10" t="s">
        <v>160</v>
      </c>
      <c r="H31" s="10" t="s">
        <v>161</v>
      </c>
    </row>
    <row r="32" spans="2:9" ht="36" x14ac:dyDescent="0.3">
      <c r="B32" s="24" t="s">
        <v>162</v>
      </c>
      <c r="C32" s="24" t="s">
        <v>163</v>
      </c>
      <c r="D32" s="24" t="s">
        <v>164</v>
      </c>
      <c r="E32" s="24" t="s">
        <v>165</v>
      </c>
      <c r="F32" s="24" t="s">
        <v>166</v>
      </c>
      <c r="G32" s="24" t="s">
        <v>167</v>
      </c>
      <c r="H32" s="24" t="s">
        <v>168</v>
      </c>
    </row>
    <row r="33" spans="2:8" ht="36" x14ac:dyDescent="0.3">
      <c r="B33" s="24" t="s">
        <v>169</v>
      </c>
      <c r="C33" s="24" t="s">
        <v>163</v>
      </c>
      <c r="D33" s="24" t="s">
        <v>170</v>
      </c>
      <c r="E33" s="24" t="s">
        <v>171</v>
      </c>
      <c r="F33" s="24" t="s">
        <v>172</v>
      </c>
      <c r="G33" s="24" t="s">
        <v>173</v>
      </c>
      <c r="H33" s="24" t="s">
        <v>174</v>
      </c>
    </row>
    <row r="34" spans="2:8" ht="36" x14ac:dyDescent="0.3">
      <c r="B34" s="24" t="s">
        <v>175</v>
      </c>
      <c r="C34" s="24" t="s">
        <v>163</v>
      </c>
      <c r="D34" s="24" t="s">
        <v>176</v>
      </c>
      <c r="E34" s="24" t="s">
        <v>177</v>
      </c>
      <c r="F34" s="24" t="s">
        <v>178</v>
      </c>
      <c r="G34" s="24" t="s">
        <v>179</v>
      </c>
      <c r="H34" s="24" t="s">
        <v>180</v>
      </c>
    </row>
    <row r="36" spans="2:8" ht="17" x14ac:dyDescent="0.4">
      <c r="B36" s="6" t="s">
        <v>181</v>
      </c>
    </row>
    <row r="37" spans="2:8" ht="29" x14ac:dyDescent="0.3">
      <c r="B37" s="10" t="s">
        <v>107</v>
      </c>
      <c r="C37" s="10" t="s">
        <v>182</v>
      </c>
      <c r="D37" s="10" t="s">
        <v>183</v>
      </c>
      <c r="E37" s="10" t="s">
        <v>184</v>
      </c>
      <c r="F37" s="10" t="s">
        <v>185</v>
      </c>
    </row>
    <row r="38" spans="2:8" ht="24" x14ac:dyDescent="0.3">
      <c r="B38" s="24" t="s">
        <v>186</v>
      </c>
      <c r="C38" s="24" t="s">
        <v>163</v>
      </c>
      <c r="D38" s="24" t="s">
        <v>187</v>
      </c>
      <c r="E38" s="24" t="s">
        <v>188</v>
      </c>
      <c r="F38" s="24" t="s">
        <v>189</v>
      </c>
    </row>
    <row r="39" spans="2:8" ht="24" x14ac:dyDescent="0.3">
      <c r="B39" s="24" t="s">
        <v>190</v>
      </c>
      <c r="C39" s="24" t="s">
        <v>163</v>
      </c>
      <c r="D39" s="24" t="s">
        <v>187</v>
      </c>
      <c r="E39" s="24" t="s">
        <v>163</v>
      </c>
      <c r="F39" s="24" t="s">
        <v>191</v>
      </c>
    </row>
    <row r="40" spans="2:8" ht="24" x14ac:dyDescent="0.3">
      <c r="B40" s="24" t="s">
        <v>192</v>
      </c>
      <c r="C40" s="24" t="s">
        <v>163</v>
      </c>
      <c r="D40" s="24" t="s">
        <v>187</v>
      </c>
      <c r="E40" s="24" t="s">
        <v>163</v>
      </c>
      <c r="F40" s="24" t="s">
        <v>193</v>
      </c>
    </row>
    <row r="42" spans="2:8" ht="17" x14ac:dyDescent="0.4">
      <c r="B42" s="6" t="s">
        <v>194</v>
      </c>
    </row>
    <row r="43" spans="2:8" ht="29" x14ac:dyDescent="0.3">
      <c r="B43" s="10" t="s">
        <v>195</v>
      </c>
      <c r="C43" s="10" t="s">
        <v>107</v>
      </c>
      <c r="D43" s="10" t="s">
        <v>196</v>
      </c>
      <c r="E43" s="10" t="s">
        <v>197</v>
      </c>
      <c r="F43" s="10" t="s">
        <v>198</v>
      </c>
      <c r="G43" s="10" t="s">
        <v>199</v>
      </c>
      <c r="H43" s="10" t="s">
        <v>200</v>
      </c>
    </row>
    <row r="44" spans="2:8" ht="36" x14ac:dyDescent="0.3">
      <c r="B44" s="24" t="s">
        <v>201</v>
      </c>
      <c r="C44" s="24" t="s">
        <v>202</v>
      </c>
      <c r="D44" s="24" t="s">
        <v>203</v>
      </c>
      <c r="E44" s="24"/>
      <c r="F44" s="24"/>
      <c r="G44" s="24" t="s">
        <v>204</v>
      </c>
      <c r="H44" s="24" t="s">
        <v>205</v>
      </c>
    </row>
    <row r="45" spans="2:8" ht="36" x14ac:dyDescent="0.3">
      <c r="B45" s="24" t="s">
        <v>206</v>
      </c>
      <c r="C45" s="24" t="s">
        <v>207</v>
      </c>
      <c r="D45" s="24" t="s">
        <v>208</v>
      </c>
      <c r="E45" s="24"/>
      <c r="F45" s="24"/>
      <c r="G45" s="24" t="s">
        <v>209</v>
      </c>
      <c r="H45" s="24" t="s">
        <v>210</v>
      </c>
    </row>
    <row r="46" spans="2:8" ht="36" x14ac:dyDescent="0.3">
      <c r="B46" s="24" t="s">
        <v>211</v>
      </c>
      <c r="C46" s="24" t="s">
        <v>212</v>
      </c>
      <c r="D46" s="24" t="s">
        <v>208</v>
      </c>
      <c r="E46" s="24"/>
      <c r="F46" s="24"/>
      <c r="G46" s="24" t="s">
        <v>213</v>
      </c>
      <c r="H46" s="24" t="s">
        <v>214</v>
      </c>
    </row>
  </sheetData>
  <phoneticPr fontId="23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5"/>
  <sheetViews>
    <sheetView showGridLines="0" workbookViewId="0"/>
  </sheetViews>
  <sheetFormatPr defaultRowHeight="14.5" x14ac:dyDescent="0.3"/>
  <cols>
    <col min="1" max="1" width="2" customWidth="1"/>
    <col min="2" max="2" width="18" customWidth="1"/>
    <col min="3" max="3" width="60" customWidth="1"/>
    <col min="4" max="4" width="2" customWidth="1"/>
  </cols>
  <sheetData>
    <row r="2" spans="2:3" ht="23.5" x14ac:dyDescent="0.3">
      <c r="B2" s="18" t="s">
        <v>215</v>
      </c>
      <c r="C2" s="2"/>
    </row>
    <row r="5" spans="2:3" ht="48" customHeight="1" x14ac:dyDescent="0.3">
      <c r="B5" s="10" t="s">
        <v>216</v>
      </c>
      <c r="C5" s="25" t="s">
        <v>217</v>
      </c>
    </row>
    <row r="6" spans="2:3" ht="48" customHeight="1" x14ac:dyDescent="0.3">
      <c r="B6" s="10" t="s">
        <v>218</v>
      </c>
      <c r="C6" s="25" t="s">
        <v>219</v>
      </c>
    </row>
    <row r="7" spans="2:3" ht="48" customHeight="1" x14ac:dyDescent="0.3">
      <c r="B7" s="11" t="s">
        <v>220</v>
      </c>
      <c r="C7" s="25" t="s">
        <v>221</v>
      </c>
    </row>
    <row r="8" spans="2:3" ht="48" customHeight="1" x14ac:dyDescent="0.3">
      <c r="B8" s="11" t="s">
        <v>222</v>
      </c>
      <c r="C8" s="25" t="s">
        <v>223</v>
      </c>
    </row>
    <row r="9" spans="2:3" ht="48" customHeight="1" x14ac:dyDescent="0.3">
      <c r="B9" s="11" t="s">
        <v>224</v>
      </c>
      <c r="C9" s="25" t="s">
        <v>225</v>
      </c>
    </row>
    <row r="10" spans="2:3" ht="48" customHeight="1" x14ac:dyDescent="0.3">
      <c r="B10" s="12" t="s">
        <v>226</v>
      </c>
      <c r="C10" s="25" t="s">
        <v>227</v>
      </c>
    </row>
    <row r="13" spans="2:3" ht="17" x14ac:dyDescent="0.4">
      <c r="B13" s="6" t="s">
        <v>228</v>
      </c>
    </row>
    <row r="14" spans="2:3" ht="220" customHeight="1" x14ac:dyDescent="0.3">
      <c r="B14" s="26" t="s">
        <v>229</v>
      </c>
    </row>
    <row r="16" spans="2:3" ht="17" x14ac:dyDescent="0.4">
      <c r="B16" s="6" t="s">
        <v>230</v>
      </c>
    </row>
    <row r="17" spans="2:2" ht="58" x14ac:dyDescent="0.3">
      <c r="B17" s="27" t="s">
        <v>231</v>
      </c>
    </row>
    <row r="18" spans="2:2" ht="72.5" x14ac:dyDescent="0.3">
      <c r="B18" s="27" t="s">
        <v>232</v>
      </c>
    </row>
    <row r="19" spans="2:2" ht="58" x14ac:dyDescent="0.3">
      <c r="B19" s="27" t="s">
        <v>233</v>
      </c>
    </row>
    <row r="21" spans="2:2" ht="17" x14ac:dyDescent="0.4">
      <c r="B21" s="6" t="s">
        <v>234</v>
      </c>
    </row>
    <row r="22" spans="2:2" ht="72.5" x14ac:dyDescent="0.3">
      <c r="B22" s="27" t="s">
        <v>235</v>
      </c>
    </row>
    <row r="23" spans="2:2" ht="116" x14ac:dyDescent="0.3">
      <c r="B23" s="27" t="s">
        <v>236</v>
      </c>
    </row>
    <row r="24" spans="2:2" ht="87" x14ac:dyDescent="0.3">
      <c r="B24" s="27" t="s">
        <v>237</v>
      </c>
    </row>
    <row r="25" spans="2:2" ht="116" x14ac:dyDescent="0.3">
      <c r="B25" s="27" t="s">
        <v>238</v>
      </c>
    </row>
  </sheetData>
  <phoneticPr fontId="2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2" customWidth="1"/>
  </cols>
  <sheetData>
    <row r="2" spans="2:6" ht="23.5" x14ac:dyDescent="0.3">
      <c r="B2" s="18" t="s">
        <v>239</v>
      </c>
      <c r="C2" s="2"/>
      <c r="D2" s="2"/>
      <c r="E2" s="2"/>
      <c r="F2" s="2"/>
    </row>
    <row r="5" spans="2:6" ht="17" x14ac:dyDescent="0.4">
      <c r="B5" s="6" t="s">
        <v>240</v>
      </c>
    </row>
    <row r="6" spans="2:6" x14ac:dyDescent="0.3">
      <c r="B6" s="10" t="s">
        <v>241</v>
      </c>
      <c r="C6" s="10" t="s">
        <v>242</v>
      </c>
    </row>
    <row r="7" spans="2:6" x14ac:dyDescent="0.3">
      <c r="B7" s="28" t="s">
        <v>243</v>
      </c>
      <c r="C7" s="29">
        <f>_xlfn.XLOOKUP("Total orders",_data_calc!$A$3:$A$18,_data_calc!$B$3:$B$18)</f>
        <v>99441</v>
      </c>
    </row>
    <row r="8" spans="2:6" x14ac:dyDescent="0.3">
      <c r="B8" s="28" t="s">
        <v>244</v>
      </c>
      <c r="C8" s="29">
        <f>_xlfn.XLOOKUP("Unique customers",_data_calc!$A$3:$A$18,_data_calc!$B$3:$B$18)</f>
        <v>96096</v>
      </c>
    </row>
    <row r="9" spans="2:6" x14ac:dyDescent="0.3">
      <c r="B9" s="28" t="s">
        <v>245</v>
      </c>
      <c r="C9" s="29">
        <f>_xlfn.XLOOKUP("Sellers",_data_calc!$A$3:$A$18,_data_calc!$B$3:$B$18)</f>
        <v>3095</v>
      </c>
    </row>
    <row r="10" spans="2:6" x14ac:dyDescent="0.3">
      <c r="B10" s="28" t="s">
        <v>246</v>
      </c>
      <c r="C10" s="29">
        <f>_xlfn.XLOOKUP("Products",_data_calc!$A$3:$A$18,_data_calc!$B$3:$B$18)</f>
        <v>32951</v>
      </c>
    </row>
    <row r="11" spans="2:6" x14ac:dyDescent="0.3">
      <c r="B11" s="28" t="s">
        <v>247</v>
      </c>
      <c r="C11" s="29">
        <f>_xlfn.XLOOKUP("Product categories",_data_calc!$A$3:$A$18,_data_calc!$B$3:$B$18)</f>
        <v>71</v>
      </c>
    </row>
    <row r="12" spans="2:6" x14ac:dyDescent="0.3">
      <c r="B12" s="28" t="s">
        <v>248</v>
      </c>
      <c r="C12" s="30">
        <f>_xlfn.XLOOKUP("States covered",_data_calc!$A$3:$A$18,_data_calc!$B$3:$B$18)</f>
        <v>27</v>
      </c>
    </row>
    <row r="13" spans="2:6" x14ac:dyDescent="0.3">
      <c r="B13" s="28" t="s">
        <v>249</v>
      </c>
      <c r="C13" s="29">
        <f>_xlfn.XLOOKUP("Cities covered",_data_calc!$A$3:$A$18,_data_calc!$B$3:$B$18)</f>
        <v>4119</v>
      </c>
    </row>
    <row r="14" spans="2:6" x14ac:dyDescent="0.3">
      <c r="B14" s="28" t="s">
        <v>250</v>
      </c>
      <c r="C14" s="29">
        <f>_xlfn.XLOOKUP("Total GMV (R$)",_data_calc!$A$3:$A$18,_data_calc!$B$3:$B$18)</f>
        <v>13591644</v>
      </c>
    </row>
    <row r="15" spans="2:6" x14ac:dyDescent="0.3">
      <c r="B15" s="28" t="s">
        <v>251</v>
      </c>
      <c r="C15" s="31">
        <f>_xlfn.XLOOKUP("AOV (R$)",_data_calc!$A$3:$A$18,_data_calc!$B$3:$B$18)</f>
        <v>137.41</v>
      </c>
    </row>
    <row r="18" spans="2:6" ht="17" x14ac:dyDescent="0.4">
      <c r="B18" s="6" t="s">
        <v>252</v>
      </c>
    </row>
    <row r="19" spans="2:6" x14ac:dyDescent="0.3">
      <c r="B19" s="10" t="s">
        <v>253</v>
      </c>
      <c r="C19" s="10" t="s">
        <v>254</v>
      </c>
      <c r="D19" s="10" t="s">
        <v>255</v>
      </c>
      <c r="E19" s="10" t="s">
        <v>256</v>
      </c>
      <c r="F19" s="10" t="s">
        <v>257</v>
      </c>
    </row>
    <row r="20" spans="2:6" x14ac:dyDescent="0.3">
      <c r="B20" s="16">
        <f>_data_calc!A23</f>
        <v>2016</v>
      </c>
      <c r="C20" s="32">
        <f>_data_calc!B23</f>
        <v>0.04</v>
      </c>
      <c r="D20" s="33">
        <f>_data_calc!C23</f>
        <v>264</v>
      </c>
      <c r="E20" s="32">
        <f>_data_calc!D23</f>
        <v>3.9</v>
      </c>
      <c r="F20" s="32">
        <f>_data_calc!E23</f>
        <v>19.600000000000001</v>
      </c>
    </row>
    <row r="21" spans="2:6" x14ac:dyDescent="0.3">
      <c r="B21" s="16">
        <f>_data_calc!A24</f>
        <v>2017</v>
      </c>
      <c r="C21" s="32">
        <f>_data_calc!B24</f>
        <v>5.94</v>
      </c>
      <c r="D21" s="33">
        <f>_data_calc!C24</f>
        <v>43098</v>
      </c>
      <c r="E21" s="32">
        <f>_data_calc!D24</f>
        <v>4.0999999999999996</v>
      </c>
      <c r="F21" s="32">
        <f>_data_calc!E24</f>
        <v>12.9</v>
      </c>
    </row>
    <row r="22" spans="2:6" x14ac:dyDescent="0.3">
      <c r="B22" s="16">
        <f>_data_calc!A25</f>
        <v>2018</v>
      </c>
      <c r="C22" s="32">
        <f>_data_calc!B25</f>
        <v>7.19</v>
      </c>
      <c r="D22" s="33">
        <f>_data_calc!C25</f>
        <v>52462</v>
      </c>
      <c r="E22" s="32">
        <f>_data_calc!D25</f>
        <v>4.0999999999999996</v>
      </c>
      <c r="F22" s="32">
        <f>_data_calc!E25</f>
        <v>12</v>
      </c>
    </row>
    <row r="25" spans="2:6" ht="17" x14ac:dyDescent="0.4">
      <c r="B25" s="6" t="s">
        <v>258</v>
      </c>
    </row>
    <row r="26" spans="2:6" x14ac:dyDescent="0.3">
      <c r="B26" s="10" t="s">
        <v>259</v>
      </c>
      <c r="C26" s="10" t="s">
        <v>255</v>
      </c>
      <c r="D26" s="10" t="s">
        <v>260</v>
      </c>
    </row>
    <row r="27" spans="2:6" x14ac:dyDescent="0.3">
      <c r="B27" s="34" t="s">
        <v>117</v>
      </c>
      <c r="C27" s="23">
        <f>_xlfn.XLOOKUP("delivered",_data_calc!$A$116:$A$120,_data_calc!$B$116:$B$120,0)</f>
        <v>96478</v>
      </c>
      <c r="D27" s="35">
        <f>_xlfn.XLOOKUP("delivered",_data_calc!$A$116:$A$120,_data_calc!$C$116:$C$120,0)</f>
        <v>0.97020343721402635</v>
      </c>
    </row>
    <row r="28" spans="2:6" x14ac:dyDescent="0.3">
      <c r="B28" s="34" t="s">
        <v>261</v>
      </c>
      <c r="C28" s="23">
        <f>_xlfn.XLOOKUP("shipped",_data_calc!$A$116:$A$120,_data_calc!$B$116:$B$120,0)</f>
        <v>1107</v>
      </c>
      <c r="D28" s="35">
        <f>_xlfn.XLOOKUP("shipped",_data_calc!$A$116:$A$120,_data_calc!$C$116:$C$120,0)</f>
        <v>1.1132229161010046E-2</v>
      </c>
    </row>
    <row r="29" spans="2:6" x14ac:dyDescent="0.3">
      <c r="B29" s="34" t="s">
        <v>262</v>
      </c>
      <c r="C29" s="23">
        <f>_xlfn.XLOOKUP("canceled",_data_calc!$A$116:$A$120,_data_calc!$B$116:$B$120,0)</f>
        <v>625</v>
      </c>
      <c r="D29" s="35">
        <f>_xlfn.XLOOKUP("canceled",_data_calc!$A$116:$A$120,_data_calc!$C$116:$C$120,0)</f>
        <v>6.2851338984925738E-3</v>
      </c>
    </row>
    <row r="30" spans="2:6" x14ac:dyDescent="0.3">
      <c r="B30" s="34" t="s">
        <v>263</v>
      </c>
      <c r="C30" s="23">
        <f>_xlfn.XLOOKUP("unavailable",_data_calc!$A$116:$A$120,_data_calc!$B$116:$B$120,0)</f>
        <v>609</v>
      </c>
      <c r="D30" s="35">
        <f>_xlfn.XLOOKUP("unavailable",_data_calc!$A$116:$A$120,_data_calc!$C$116:$C$120,0)</f>
        <v>6.1242344706911632E-3</v>
      </c>
    </row>
    <row r="31" spans="2:6" x14ac:dyDescent="0.3">
      <c r="B31" s="34" t="s">
        <v>264</v>
      </c>
      <c r="C31" s="23">
        <f>_xlfn.XLOOKUP("other",_data_calc!$A$116:$A$120,_data_calc!$B$116:$B$120,0)</f>
        <v>622</v>
      </c>
      <c r="D31" s="35">
        <f>_xlfn.XLOOKUP("other",_data_calc!$A$116:$A$120,_data_calc!$C$116:$C$120,0)</f>
        <v>6.2549652557798091E-3</v>
      </c>
    </row>
    <row r="34" spans="2:5" ht="17" x14ac:dyDescent="0.4">
      <c r="B34" s="6" t="s">
        <v>265</v>
      </c>
    </row>
    <row r="35" spans="2:5" x14ac:dyDescent="0.3">
      <c r="B35" s="10" t="s">
        <v>266</v>
      </c>
      <c r="C35" s="10" t="s">
        <v>255</v>
      </c>
      <c r="D35" s="10" t="s">
        <v>260</v>
      </c>
      <c r="E35" s="10" t="s">
        <v>267</v>
      </c>
    </row>
    <row r="36" spans="2:5" x14ac:dyDescent="0.3">
      <c r="B36" s="34" t="s">
        <v>187</v>
      </c>
      <c r="C36" s="23">
        <f>_xlfn.XLOOKUP("credit_card",_data_calc!$A$125:$A$128,_data_calc!$B$125:$B$128,0)</f>
        <v>76505</v>
      </c>
      <c r="D36" s="35">
        <f>_xlfn.XLOOKUP("credit_card",_data_calc!$A$125:$A$128,_data_calc!$C$125:$C$128,0)</f>
        <v>0.75238732138115516</v>
      </c>
      <c r="E36" s="36">
        <f>_xlfn.XLOOKUP("credit_card",_data_calc!$A$125:$A$128,_data_calc!$D$125:$D$128,0)</f>
        <v>3.51</v>
      </c>
    </row>
    <row r="37" spans="2:5" x14ac:dyDescent="0.3">
      <c r="B37" s="34" t="s">
        <v>268</v>
      </c>
      <c r="C37" s="23">
        <f>_xlfn.XLOOKUP("boleto",_data_calc!$A$125:$A$128,_data_calc!$B$125:$B$128,0)</f>
        <v>19784</v>
      </c>
      <c r="D37" s="35">
        <f>_xlfn.XLOOKUP("boleto",_data_calc!$A$125:$A$128,_data_calc!$C$125:$C$128,0)</f>
        <v>0.19456546325344454</v>
      </c>
      <c r="E37" s="36">
        <f>_xlfn.XLOOKUP("boleto",_data_calc!$A$125:$A$128,_data_calc!$D$125:$D$128,0)</f>
        <v>1</v>
      </c>
    </row>
    <row r="38" spans="2:5" x14ac:dyDescent="0.3">
      <c r="B38" s="34" t="s">
        <v>269</v>
      </c>
      <c r="C38" s="23">
        <f>_xlfn.XLOOKUP("voucher",_data_calc!$A$125:$A$128,_data_calc!$B$125:$B$128,0)</f>
        <v>3866</v>
      </c>
      <c r="D38" s="35">
        <f>_xlfn.XLOOKUP("voucher",_data_calc!$A$125:$A$128,_data_calc!$C$125:$C$128,0)</f>
        <v>3.8020121357552394E-2</v>
      </c>
      <c r="E38" s="36">
        <f>_xlfn.XLOOKUP("voucher",_data_calc!$A$125:$A$128,_data_calc!$D$125:$D$128,0)</f>
        <v>1</v>
      </c>
    </row>
    <row r="39" spans="2:5" x14ac:dyDescent="0.3">
      <c r="B39" s="34" t="s">
        <v>270</v>
      </c>
      <c r="C39" s="23">
        <f>_xlfn.XLOOKUP("debit_card",_data_calc!$A$125:$A$128,_data_calc!$B$125:$B$128,0)</f>
        <v>1528</v>
      </c>
      <c r="D39" s="35">
        <f>_xlfn.XLOOKUP("debit_card",_data_calc!$A$125:$A$128,_data_calc!$C$125:$C$128,0)</f>
        <v>1.502709400784792E-2</v>
      </c>
      <c r="E39" s="36">
        <f>_xlfn.XLOOKUP("debit_card",_data_calc!$A$125:$A$128,_data_calc!$D$125:$D$128,0)</f>
        <v>1</v>
      </c>
    </row>
  </sheetData>
  <phoneticPr fontId="23" type="noConversion"/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2" customWidth="1"/>
  </cols>
  <sheetData>
    <row r="2" spans="2:3" ht="47" x14ac:dyDescent="0.3">
      <c r="B2" s="18" t="s">
        <v>271</v>
      </c>
      <c r="C2" s="2"/>
    </row>
    <row r="5" spans="2:3" x14ac:dyDescent="0.3">
      <c r="B5" s="10" t="s">
        <v>272</v>
      </c>
      <c r="C5" s="10" t="s">
        <v>273</v>
      </c>
    </row>
    <row r="6" spans="2:3" x14ac:dyDescent="0.3">
      <c r="B6" s="34" t="str">
        <f>_data_calc!A30</f>
        <v>2017-01</v>
      </c>
      <c r="C6" s="23">
        <f>_data_calc!B30</f>
        <v>111798.36</v>
      </c>
    </row>
    <row r="7" spans="2:3" x14ac:dyDescent="0.3">
      <c r="B7" s="34" t="str">
        <f>_data_calc!A31</f>
        <v>2017-02</v>
      </c>
      <c r="C7" s="23">
        <f>_data_calc!B31</f>
        <v>234223.4</v>
      </c>
    </row>
    <row r="8" spans="2:3" x14ac:dyDescent="0.3">
      <c r="B8" s="34" t="str">
        <f>_data_calc!A32</f>
        <v>2017-03</v>
      </c>
      <c r="C8" s="23">
        <f>_data_calc!B32</f>
        <v>359198.85</v>
      </c>
    </row>
    <row r="9" spans="2:3" x14ac:dyDescent="0.3">
      <c r="B9" s="34" t="str">
        <f>_data_calc!A33</f>
        <v>2017-04</v>
      </c>
      <c r="C9" s="23">
        <f>_data_calc!B33</f>
        <v>340669.68</v>
      </c>
    </row>
    <row r="10" spans="2:3" x14ac:dyDescent="0.3">
      <c r="B10" s="34" t="str">
        <f>_data_calc!A34</f>
        <v>2017-05</v>
      </c>
      <c r="C10" s="23">
        <f>_data_calc!B34</f>
        <v>489338.25</v>
      </c>
    </row>
    <row r="11" spans="2:3" x14ac:dyDescent="0.3">
      <c r="B11" s="34" t="str">
        <f>_data_calc!A35</f>
        <v>2017-06</v>
      </c>
      <c r="C11" s="23">
        <f>_data_calc!B35</f>
        <v>421923.37</v>
      </c>
    </row>
    <row r="12" spans="2:3" x14ac:dyDescent="0.3">
      <c r="B12" s="34" t="str">
        <f>_data_calc!A36</f>
        <v>2017-07</v>
      </c>
      <c r="C12" s="23">
        <f>_data_calc!B36</f>
        <v>481604.52</v>
      </c>
    </row>
    <row r="13" spans="2:3" x14ac:dyDescent="0.3">
      <c r="B13" s="34" t="str">
        <f>_data_calc!A37</f>
        <v>2017-08</v>
      </c>
      <c r="C13" s="23">
        <f>_data_calc!B37</f>
        <v>554699.69999999995</v>
      </c>
    </row>
    <row r="14" spans="2:3" x14ac:dyDescent="0.3">
      <c r="B14" s="34" t="str">
        <f>_data_calc!A38</f>
        <v>2017-09</v>
      </c>
      <c r="C14" s="23">
        <f>_data_calc!B38</f>
        <v>607399.67000000004</v>
      </c>
    </row>
    <row r="15" spans="2:3" x14ac:dyDescent="0.3">
      <c r="B15" s="34" t="str">
        <f>_data_calc!A39</f>
        <v>2017-10</v>
      </c>
      <c r="C15" s="23">
        <f>_data_calc!B39</f>
        <v>648247.65</v>
      </c>
    </row>
    <row r="16" spans="2:3" x14ac:dyDescent="0.3">
      <c r="B16" s="34" t="str">
        <f>_data_calc!A40</f>
        <v>2017-11</v>
      </c>
      <c r="C16" s="23">
        <f>_data_calc!B40</f>
        <v>987765.37</v>
      </c>
    </row>
    <row r="17" spans="2:3" x14ac:dyDescent="0.3">
      <c r="B17" s="34" t="str">
        <f>_data_calc!A41</f>
        <v>2017-12</v>
      </c>
      <c r="C17" s="23">
        <f>_data_calc!B41</f>
        <v>726033.19</v>
      </c>
    </row>
    <row r="18" spans="2:3" x14ac:dyDescent="0.3">
      <c r="B18" s="34" t="str">
        <f>_data_calc!A42</f>
        <v>2018-01</v>
      </c>
      <c r="C18" s="23">
        <f>_data_calc!B42</f>
        <v>924645</v>
      </c>
    </row>
    <row r="19" spans="2:3" x14ac:dyDescent="0.3">
      <c r="B19" s="34" t="str">
        <f>_data_calc!A43</f>
        <v>2018-02</v>
      </c>
      <c r="C19" s="23">
        <f>_data_calc!B43</f>
        <v>826437.13</v>
      </c>
    </row>
    <row r="20" spans="2:3" x14ac:dyDescent="0.3">
      <c r="B20" s="34" t="str">
        <f>_data_calc!A44</f>
        <v>2018-03</v>
      </c>
      <c r="C20" s="23">
        <f>_data_calc!B44</f>
        <v>953356.25</v>
      </c>
    </row>
    <row r="21" spans="2:3" x14ac:dyDescent="0.3">
      <c r="B21" s="34" t="str">
        <f>_data_calc!A45</f>
        <v>2018-04</v>
      </c>
      <c r="C21" s="23">
        <f>_data_calc!B45</f>
        <v>973534.09</v>
      </c>
    </row>
    <row r="22" spans="2:3" x14ac:dyDescent="0.3">
      <c r="B22" s="34" t="str">
        <f>_data_calc!A46</f>
        <v>2018-05</v>
      </c>
      <c r="C22" s="23">
        <f>_data_calc!B46</f>
        <v>977544.69</v>
      </c>
    </row>
    <row r="23" spans="2:3" x14ac:dyDescent="0.3">
      <c r="B23" s="34" t="str">
        <f>_data_calc!A47</f>
        <v>2018-06</v>
      </c>
      <c r="C23" s="23">
        <f>_data_calc!B47</f>
        <v>856077.86</v>
      </c>
    </row>
    <row r="24" spans="2:3" x14ac:dyDescent="0.3">
      <c r="B24" s="34" t="str">
        <f>_data_calc!A48</f>
        <v>2018-07</v>
      </c>
      <c r="C24" s="23">
        <f>_data_calc!B48</f>
        <v>867953.46</v>
      </c>
    </row>
    <row r="25" spans="2:3" x14ac:dyDescent="0.3">
      <c r="B25" s="34" t="str">
        <f>_data_calc!A49</f>
        <v>2018-08</v>
      </c>
      <c r="C25" s="23">
        <f>_data_calc!B49</f>
        <v>838576.64000000001</v>
      </c>
    </row>
  </sheetData>
  <phoneticPr fontId="23" type="noConversion"/>
  <pageMargins left="0.75" right="0.75" top="1" bottom="1" header="0.5" footer="0.5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18" t="s">
        <v>274</v>
      </c>
      <c r="C2" s="2"/>
      <c r="D2" s="2"/>
      <c r="E2" s="2"/>
      <c r="F2" s="2"/>
      <c r="G2" s="2"/>
      <c r="H2" s="2"/>
      <c r="I2" s="2"/>
    </row>
    <row r="3" spans="2:9" x14ac:dyDescent="0.3">
      <c r="B3" s="21" t="s">
        <v>275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276</v>
      </c>
      <c r="C5" s="10" t="s">
        <v>277</v>
      </c>
      <c r="D5" s="10" t="s">
        <v>278</v>
      </c>
      <c r="E5" s="10" t="s">
        <v>273</v>
      </c>
      <c r="F5" s="10" t="s">
        <v>279</v>
      </c>
      <c r="G5" s="10" t="s">
        <v>280</v>
      </c>
      <c r="H5" s="10" t="s">
        <v>281</v>
      </c>
      <c r="I5" s="10" t="s">
        <v>282</v>
      </c>
    </row>
    <row r="6" spans="2:9" ht="29" x14ac:dyDescent="0.35">
      <c r="B6" s="14" t="s">
        <v>283</v>
      </c>
      <c r="C6" s="23">
        <f>_data_calc!B54</f>
        <v>15151</v>
      </c>
      <c r="D6" s="35">
        <f>_data_calc!C54</f>
        <v>0.16200000000000001</v>
      </c>
      <c r="E6" s="23">
        <f>_data_calc!D54</f>
        <v>4155457.5</v>
      </c>
      <c r="F6" s="35">
        <f>_data_calc!E54</f>
        <v>0.314</v>
      </c>
      <c r="G6" s="37">
        <f>_data_calc!F54</f>
        <v>274.3</v>
      </c>
      <c r="H6" s="37">
        <f>_data_calc!G54</f>
        <v>90.9</v>
      </c>
      <c r="I6" s="16" t="s">
        <v>284</v>
      </c>
    </row>
    <row r="7" spans="2:9" ht="29" x14ac:dyDescent="0.35">
      <c r="B7" s="14" t="s">
        <v>285</v>
      </c>
      <c r="C7" s="23">
        <f>_data_calc!B55</f>
        <v>21975</v>
      </c>
      <c r="D7" s="35">
        <f>_data_calc!C55</f>
        <v>0.23499999999999999</v>
      </c>
      <c r="E7" s="23">
        <f>_data_calc!D55</f>
        <v>4688537.4000000004</v>
      </c>
      <c r="F7" s="35">
        <f>_data_calc!E55</f>
        <v>0.35499999999999998</v>
      </c>
      <c r="G7" s="37">
        <f>_data_calc!F55</f>
        <v>213.4</v>
      </c>
      <c r="H7" s="37">
        <f>_data_calc!G55</f>
        <v>393.2</v>
      </c>
      <c r="I7" s="16" t="s">
        <v>286</v>
      </c>
    </row>
    <row r="8" spans="2:9" ht="29" x14ac:dyDescent="0.35">
      <c r="B8" s="14" t="s">
        <v>287</v>
      </c>
      <c r="C8" s="23">
        <f>_data_calc!B56</f>
        <v>7612</v>
      </c>
      <c r="D8" s="35">
        <f>_data_calc!C56</f>
        <v>8.199999999999999E-2</v>
      </c>
      <c r="E8" s="23">
        <f>_data_calc!D56</f>
        <v>675660.2</v>
      </c>
      <c r="F8" s="35">
        <f>_data_calc!E56</f>
        <v>5.0999999999999997E-2</v>
      </c>
      <c r="G8" s="37">
        <f>_data_calc!F56</f>
        <v>88.8</v>
      </c>
      <c r="H8" s="37">
        <f>_data_calc!G56</f>
        <v>90.1</v>
      </c>
      <c r="I8" s="16" t="s">
        <v>288</v>
      </c>
    </row>
    <row r="9" spans="2:9" ht="29" x14ac:dyDescent="0.35">
      <c r="B9" s="14" t="s">
        <v>289</v>
      </c>
      <c r="C9" s="23">
        <f>_data_calc!B57</f>
        <v>18672</v>
      </c>
      <c r="D9" s="35">
        <f>_data_calc!C57</f>
        <v>0.2</v>
      </c>
      <c r="E9" s="23">
        <f>_data_calc!D57</f>
        <v>2507492.9</v>
      </c>
      <c r="F9" s="35">
        <f>_data_calc!E57</f>
        <v>0.19</v>
      </c>
      <c r="G9" s="37">
        <f>_data_calc!F57</f>
        <v>134.30000000000001</v>
      </c>
      <c r="H9" s="37">
        <f>_data_calc!G57</f>
        <v>219.4</v>
      </c>
      <c r="I9" s="16" t="s">
        <v>290</v>
      </c>
    </row>
    <row r="10" spans="2:9" ht="29" x14ac:dyDescent="0.35">
      <c r="B10" s="14" t="s">
        <v>291</v>
      </c>
      <c r="C10" s="23">
        <f>_data_calc!B58</f>
        <v>14579</v>
      </c>
      <c r="D10" s="35">
        <f>_data_calc!C58</f>
        <v>0.156</v>
      </c>
      <c r="E10" s="23">
        <f>_data_calc!D58</f>
        <v>576513.30000000005</v>
      </c>
      <c r="F10" s="35">
        <f>_data_calc!E58</f>
        <v>4.3999999999999997E-2</v>
      </c>
      <c r="G10" s="37">
        <f>_data_calc!F58</f>
        <v>39.5</v>
      </c>
      <c r="H10" s="37">
        <f>_data_calc!G58</f>
        <v>88.8</v>
      </c>
      <c r="I10" s="16" t="s">
        <v>292</v>
      </c>
    </row>
    <row r="11" spans="2:9" ht="29" x14ac:dyDescent="0.35">
      <c r="B11" s="14" t="s">
        <v>293</v>
      </c>
      <c r="C11" s="23">
        <f>_data_calc!B59</f>
        <v>15369</v>
      </c>
      <c r="D11" s="35">
        <f>_data_calc!C59</f>
        <v>0.16500000000000001</v>
      </c>
      <c r="E11" s="23">
        <f>_data_calc!D59</f>
        <v>617836.69999999995</v>
      </c>
      <c r="F11" s="35">
        <f>_data_calc!E59</f>
        <v>4.7E-2</v>
      </c>
      <c r="G11" s="37">
        <f>_data_calc!F59</f>
        <v>40.200000000000003</v>
      </c>
      <c r="H11" s="37">
        <f>_data_calc!G59</f>
        <v>395.5</v>
      </c>
      <c r="I11" s="16" t="s">
        <v>294</v>
      </c>
    </row>
  </sheetData>
  <phoneticPr fontId="23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18" t="s">
        <v>295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1" t="s">
        <v>296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297</v>
      </c>
      <c r="C5" s="10" t="s">
        <v>298</v>
      </c>
      <c r="D5" s="10" t="s">
        <v>299</v>
      </c>
      <c r="E5" s="10" t="s">
        <v>300</v>
      </c>
      <c r="F5" s="10" t="s">
        <v>301</v>
      </c>
      <c r="G5" s="10" t="s">
        <v>302</v>
      </c>
      <c r="H5" s="10" t="s">
        <v>303</v>
      </c>
      <c r="I5" s="10" t="s">
        <v>304</v>
      </c>
      <c r="J5" s="10" t="s">
        <v>305</v>
      </c>
      <c r="K5" s="10" t="s">
        <v>306</v>
      </c>
      <c r="L5" s="10" t="s">
        <v>307</v>
      </c>
      <c r="M5" s="10" t="s">
        <v>308</v>
      </c>
      <c r="N5" s="10" t="s">
        <v>309</v>
      </c>
      <c r="O5" s="10" t="s">
        <v>310</v>
      </c>
    </row>
    <row r="6" spans="2:15" ht="15" x14ac:dyDescent="0.35">
      <c r="B6" s="38" t="str">
        <f>_data_calc!A92</f>
        <v>2017-01</v>
      </c>
      <c r="C6" s="39">
        <f>_data_calc!B92</f>
        <v>1</v>
      </c>
      <c r="D6" s="39">
        <f>_data_calc!C92</f>
        <v>2.7894002789400278E-3</v>
      </c>
      <c r="E6" s="39">
        <f>_data_calc!D92</f>
        <v>2.7894002789400278E-3</v>
      </c>
      <c r="F6" s="39">
        <f>_data_calc!E92</f>
        <v>1.3947001394700139E-3</v>
      </c>
      <c r="G6" s="39">
        <f>_data_calc!F92</f>
        <v>4.1841004184100406E-3</v>
      </c>
      <c r="H6" s="39">
        <f>_data_calc!G92</f>
        <v>1.3947001394700139E-3</v>
      </c>
      <c r="I6" s="39">
        <f>_data_calc!H92</f>
        <v>4.1841004184100406E-3</v>
      </c>
      <c r="J6" s="39">
        <f>_data_calc!I92</f>
        <v>1.3947001394700139E-3</v>
      </c>
      <c r="K6" s="39">
        <f>_data_calc!J92</f>
        <v>1.3947001394700139E-3</v>
      </c>
      <c r="L6" s="39">
        <f>_data_calc!K92</f>
        <v>0</v>
      </c>
      <c r="M6" s="39">
        <f>_data_calc!L92</f>
        <v>4.1841004184100406E-3</v>
      </c>
      <c r="N6" s="39">
        <f>_data_calc!M92</f>
        <v>1.3947001394700139E-3</v>
      </c>
      <c r="O6" s="39">
        <f>_data_calc!N92</f>
        <v>6.9735006973500706E-3</v>
      </c>
    </row>
    <row r="7" spans="2:15" ht="15" x14ac:dyDescent="0.35">
      <c r="B7" s="38" t="str">
        <f>_data_calc!A93</f>
        <v>2017-02</v>
      </c>
      <c r="C7" s="39">
        <f>_data_calc!B93</f>
        <v>1</v>
      </c>
      <c r="D7" s="39">
        <f>_data_calc!C93</f>
        <v>1.842751842751843E-3</v>
      </c>
      <c r="E7" s="39">
        <f>_data_calc!D93</f>
        <v>3.0712530712530711E-3</v>
      </c>
      <c r="F7" s="39">
        <f>_data_calc!E93</f>
        <v>1.228501228501228E-3</v>
      </c>
      <c r="G7" s="39">
        <f>_data_calc!F93</f>
        <v>4.2997542997542998E-3</v>
      </c>
      <c r="H7" s="39">
        <f>_data_calc!G93</f>
        <v>1.228501228501228E-3</v>
      </c>
      <c r="I7" s="39">
        <f>_data_calc!H93</f>
        <v>2.4570024570024569E-3</v>
      </c>
      <c r="J7" s="39">
        <f>_data_calc!I93</f>
        <v>1.842751842751843E-3</v>
      </c>
      <c r="K7" s="39">
        <f>_data_calc!J93</f>
        <v>1.228501228501228E-3</v>
      </c>
      <c r="L7" s="39">
        <f>_data_calc!K93</f>
        <v>1.842751842751843E-3</v>
      </c>
      <c r="M7" s="39">
        <f>_data_calc!L93</f>
        <v>1.228501228501228E-3</v>
      </c>
      <c r="N7" s="39">
        <f>_data_calc!M93</f>
        <v>3.0712530712530711E-3</v>
      </c>
      <c r="O7" s="39">
        <f>_data_calc!N93</f>
        <v>1.228501228501228E-3</v>
      </c>
    </row>
    <row r="8" spans="2:15" ht="15" x14ac:dyDescent="0.35">
      <c r="B8" s="38" t="str">
        <f>_data_calc!A94</f>
        <v>2017-03</v>
      </c>
      <c r="C8" s="39">
        <f>_data_calc!B94</f>
        <v>1</v>
      </c>
      <c r="D8" s="39">
        <f>_data_calc!C94</f>
        <v>4.3947263284059134E-3</v>
      </c>
      <c r="E8" s="39">
        <f>_data_calc!D94</f>
        <v>3.595685177786656E-3</v>
      </c>
      <c r="F8" s="39">
        <f>_data_calc!E94</f>
        <v>3.9952057530962841E-3</v>
      </c>
      <c r="G8" s="39">
        <f>_data_calc!F94</f>
        <v>3.595685177786656E-3</v>
      </c>
      <c r="H8" s="39">
        <f>_data_calc!G94</f>
        <v>1.598082301238514E-3</v>
      </c>
      <c r="I8" s="39">
        <f>_data_calc!H94</f>
        <v>1.598082301238514E-3</v>
      </c>
      <c r="J8" s="39">
        <f>_data_calc!I94</f>
        <v>3.1961646024770279E-3</v>
      </c>
      <c r="K8" s="39">
        <f>_data_calc!J94</f>
        <v>3.1961646024770279E-3</v>
      </c>
      <c r="L8" s="39">
        <f>_data_calc!K94</f>
        <v>7.9904115061925688E-4</v>
      </c>
      <c r="M8" s="39">
        <f>_data_calc!L94</f>
        <v>3.595685177786656E-3</v>
      </c>
      <c r="N8" s="39">
        <f>_data_calc!M94</f>
        <v>1.198561725928885E-3</v>
      </c>
      <c r="O8" s="39">
        <f>_data_calc!N94</f>
        <v>1.997602876548142E-3</v>
      </c>
    </row>
    <row r="9" spans="2:15" ht="15" x14ac:dyDescent="0.35">
      <c r="B9" s="38" t="str">
        <f>_data_calc!A95</f>
        <v>2017-04</v>
      </c>
      <c r="C9" s="39">
        <f>_data_calc!B95</f>
        <v>1</v>
      </c>
      <c r="D9" s="39">
        <f>_data_calc!C95</f>
        <v>6.2056737588652494E-3</v>
      </c>
      <c r="E9" s="39">
        <f>_data_calc!D95</f>
        <v>2.2163120567375888E-3</v>
      </c>
      <c r="F9" s="39">
        <f>_data_calc!E95</f>
        <v>1.7730496453900711E-3</v>
      </c>
      <c r="G9" s="39">
        <f>_data_calc!F95</f>
        <v>2.6595744680851059E-3</v>
      </c>
      <c r="H9" s="39">
        <f>_data_calc!G95</f>
        <v>2.6595744680851059E-3</v>
      </c>
      <c r="I9" s="39">
        <f>_data_calc!H95</f>
        <v>3.5460992907801422E-3</v>
      </c>
      <c r="J9" s="39">
        <f>_data_calc!I95</f>
        <v>3.1028368794326238E-3</v>
      </c>
      <c r="K9" s="39">
        <f>_data_calc!J95</f>
        <v>3.1028368794326238E-3</v>
      </c>
      <c r="L9" s="39">
        <f>_data_calc!K95</f>
        <v>1.7730496453900711E-3</v>
      </c>
      <c r="M9" s="39">
        <f>_data_calc!L95</f>
        <v>2.6595744680851059E-3</v>
      </c>
      <c r="N9" s="39">
        <f>_data_calc!M95</f>
        <v>8.8652482269503544E-4</v>
      </c>
      <c r="O9" s="39">
        <f>_data_calc!N95</f>
        <v>4.4326241134751772E-4</v>
      </c>
    </row>
    <row r="10" spans="2:15" ht="15" x14ac:dyDescent="0.35">
      <c r="B10" s="38" t="str">
        <f>_data_calc!A96</f>
        <v>2017-05</v>
      </c>
      <c r="C10" s="39">
        <f>_data_calc!B96</f>
        <v>1</v>
      </c>
      <c r="D10" s="39">
        <f>_data_calc!C96</f>
        <v>4.6363372935381052E-3</v>
      </c>
      <c r="E10" s="39">
        <f>_data_calc!D96</f>
        <v>4.6363372935381052E-3</v>
      </c>
      <c r="F10" s="39">
        <f>_data_calc!E96</f>
        <v>2.8977108084613161E-3</v>
      </c>
      <c r="G10" s="39">
        <f>_data_calc!F96</f>
        <v>2.8977108084613161E-3</v>
      </c>
      <c r="H10" s="39">
        <f>_data_calc!G96</f>
        <v>3.1874818893074469E-3</v>
      </c>
      <c r="I10" s="39">
        <f>_data_calc!H96</f>
        <v>4.0567951318458417E-3</v>
      </c>
      <c r="J10" s="39">
        <f>_data_calc!I96</f>
        <v>1.448855404230658E-3</v>
      </c>
      <c r="K10" s="39">
        <f>_data_calc!J96</f>
        <v>2.6079397276151839E-3</v>
      </c>
      <c r="L10" s="39">
        <f>_data_calc!K96</f>
        <v>2.6079397276151839E-3</v>
      </c>
      <c r="M10" s="39">
        <f>_data_calc!L96</f>
        <v>2.6079397276151839E-3</v>
      </c>
      <c r="N10" s="39">
        <f>_data_calc!M96</f>
        <v>3.4772529701535791E-3</v>
      </c>
      <c r="O10" s="39">
        <f>_data_calc!N96</f>
        <v>2.318168646769053E-3</v>
      </c>
    </row>
    <row r="11" spans="2:15" ht="15" x14ac:dyDescent="0.35">
      <c r="B11" s="38" t="str">
        <f>_data_calc!A97</f>
        <v>2017-06</v>
      </c>
      <c r="C11" s="39">
        <f>_data_calc!B97</f>
        <v>1</v>
      </c>
      <c r="D11" s="39">
        <f>_data_calc!C97</f>
        <v>4.9390846229832074E-3</v>
      </c>
      <c r="E11" s="39">
        <f>_data_calc!D97</f>
        <v>3.9512676983865661E-3</v>
      </c>
      <c r="F11" s="39">
        <f>_data_calc!E97</f>
        <v>4.2805400065854459E-3</v>
      </c>
      <c r="G11" s="39">
        <f>_data_calc!F97</f>
        <v>2.9634507737899252E-3</v>
      </c>
      <c r="H11" s="39">
        <f>_data_calc!G97</f>
        <v>3.9512676983865661E-3</v>
      </c>
      <c r="I11" s="39">
        <f>_data_calc!H97</f>
        <v>3.6219953901876849E-3</v>
      </c>
      <c r="J11" s="39">
        <f>_data_calc!I97</f>
        <v>2.3049061573921629E-3</v>
      </c>
      <c r="K11" s="39">
        <f>_data_calc!J97</f>
        <v>1.317089232795522E-3</v>
      </c>
      <c r="L11" s="39">
        <f>_data_calc!K97</f>
        <v>1.975633849193283E-3</v>
      </c>
      <c r="M11" s="39">
        <f>_data_calc!L97</f>
        <v>2.9634507737899252E-3</v>
      </c>
      <c r="N11" s="39">
        <f>_data_calc!M97</f>
        <v>3.6219953901876849E-3</v>
      </c>
      <c r="O11" s="39">
        <f>_data_calc!N97</f>
        <v>1.6463615409944021E-3</v>
      </c>
    </row>
    <row r="12" spans="2:15" ht="15" x14ac:dyDescent="0.35">
      <c r="B12" s="38" t="str">
        <f>_data_calc!A98</f>
        <v>2017-07</v>
      </c>
      <c r="C12" s="39">
        <f>_data_calc!B98</f>
        <v>1</v>
      </c>
      <c r="D12" s="39">
        <f>_data_calc!C98</f>
        <v>5.3304904051172707E-3</v>
      </c>
      <c r="E12" s="39">
        <f>_data_calc!D98</f>
        <v>3.4648187633262262E-3</v>
      </c>
      <c r="F12" s="39">
        <f>_data_calc!E98</f>
        <v>2.398720682302772E-3</v>
      </c>
      <c r="G12" s="39">
        <f>_data_calc!F98</f>
        <v>2.9317697228144991E-3</v>
      </c>
      <c r="H12" s="39">
        <f>_data_calc!G98</f>
        <v>2.1321961620469078E-3</v>
      </c>
      <c r="I12" s="39">
        <f>_data_calc!H98</f>
        <v>3.198294243070362E-3</v>
      </c>
      <c r="J12" s="39">
        <f>_data_calc!I98</f>
        <v>1.0660980810234539E-3</v>
      </c>
      <c r="K12" s="39">
        <f>_data_calc!J98</f>
        <v>1.865671641791045E-3</v>
      </c>
      <c r="L12" s="39">
        <f>_data_calc!K98</f>
        <v>2.6652452025586349E-3</v>
      </c>
      <c r="M12" s="39">
        <f>_data_calc!L98</f>
        <v>2.1321961620469078E-3</v>
      </c>
      <c r="N12" s="39">
        <f>_data_calc!M98</f>
        <v>2.9317697228144991E-3</v>
      </c>
      <c r="O12" s="39">
        <f>_data_calc!N98</f>
        <v>1.3326226012793181E-3</v>
      </c>
    </row>
    <row r="13" spans="2:15" ht="15" x14ac:dyDescent="0.35">
      <c r="B13" s="38" t="str">
        <f>_data_calc!A99</f>
        <v>2017-08</v>
      </c>
      <c r="C13" s="39">
        <f>_data_calc!B99</f>
        <v>1</v>
      </c>
      <c r="D13" s="39">
        <f>_data_calc!C99</f>
        <v>6.9016514666009367E-3</v>
      </c>
      <c r="E13" s="39">
        <f>_data_calc!D99</f>
        <v>3.4508257333004679E-3</v>
      </c>
      <c r="F13" s="39">
        <f>_data_calc!E99</f>
        <v>2.7113630761646541E-3</v>
      </c>
      <c r="G13" s="39">
        <f>_data_calc!F99</f>
        <v>3.4508257333004679E-3</v>
      </c>
      <c r="H13" s="39">
        <f>_data_calc!G99</f>
        <v>5.1762385999507034E-3</v>
      </c>
      <c r="I13" s="39">
        <f>_data_calc!H99</f>
        <v>2.957850628543258E-3</v>
      </c>
      <c r="J13" s="39">
        <f>_data_calc!I99</f>
        <v>2.7113630761646541E-3</v>
      </c>
      <c r="K13" s="39">
        <f>_data_calc!J99</f>
        <v>1.478925314271629E-3</v>
      </c>
      <c r="L13" s="39">
        <f>_data_calc!K99</f>
        <v>1.478925314271629E-3</v>
      </c>
      <c r="M13" s="39">
        <f>_data_calc!L99</f>
        <v>2.4648755237860489E-3</v>
      </c>
      <c r="N13" s="39">
        <f>_data_calc!M99</f>
        <v>1.9719004190288389E-3</v>
      </c>
      <c r="O13" s="39">
        <f>_data_calc!N99</f>
        <v>1.232437761893024E-3</v>
      </c>
    </row>
    <row r="14" spans="2:15" ht="15" x14ac:dyDescent="0.35">
      <c r="B14" s="38" t="str">
        <f>_data_calc!A100</f>
        <v>2017-09</v>
      </c>
      <c r="C14" s="39">
        <f>_data_calc!B100</f>
        <v>1</v>
      </c>
      <c r="D14" s="39">
        <f>_data_calc!C100</f>
        <v>6.993006993006993E-3</v>
      </c>
      <c r="E14" s="39">
        <f>_data_calc!D100</f>
        <v>5.4945054945054949E-3</v>
      </c>
      <c r="F14" s="39">
        <f>_data_calc!E100</f>
        <v>2.747252747252747E-3</v>
      </c>
      <c r="G14" s="39">
        <f>_data_calc!F100</f>
        <v>4.4955044955044959E-3</v>
      </c>
      <c r="H14" s="39">
        <f>_data_calc!G100</f>
        <v>2.247752247752248E-3</v>
      </c>
      <c r="I14" s="39">
        <f>_data_calc!H100</f>
        <v>2.247752247752248E-3</v>
      </c>
      <c r="J14" s="39">
        <f>_data_calc!I100</f>
        <v>2.4975024975024979E-3</v>
      </c>
      <c r="K14" s="39">
        <f>_data_calc!J100</f>
        <v>2.747252747252747E-3</v>
      </c>
      <c r="L14" s="39">
        <f>_data_calc!K100</f>
        <v>1.748251748251748E-3</v>
      </c>
      <c r="M14" s="39">
        <f>_data_calc!L100</f>
        <v>2.4975024975024979E-3</v>
      </c>
      <c r="N14" s="39">
        <f>_data_calc!M100</f>
        <v>7.4925074925074925E-4</v>
      </c>
      <c r="O14" s="39">
        <f>_data_calc!N100</f>
        <v>0</v>
      </c>
    </row>
    <row r="15" spans="2:15" ht="15" x14ac:dyDescent="0.35">
      <c r="B15" s="38" t="str">
        <f>_data_calc!A101</f>
        <v>2017-10</v>
      </c>
      <c r="C15" s="39">
        <f>_data_calc!B101</f>
        <v>1</v>
      </c>
      <c r="D15" s="39">
        <f>_data_calc!C101</f>
        <v>7.1626617375231049E-3</v>
      </c>
      <c r="E15" s="39">
        <f>_data_calc!D101</f>
        <v>2.5415896487985209E-3</v>
      </c>
      <c r="F15" s="39">
        <f>_data_calc!E101</f>
        <v>9.2421441774491681E-4</v>
      </c>
      <c r="G15" s="39">
        <f>_data_calc!F101</f>
        <v>2.3105360443622918E-3</v>
      </c>
      <c r="H15" s="39">
        <f>_data_calc!G101</f>
        <v>2.0794824399260631E-3</v>
      </c>
      <c r="I15" s="39">
        <f>_data_calc!H101</f>
        <v>2.0794824399260631E-3</v>
      </c>
      <c r="J15" s="39">
        <f>_data_calc!I101</f>
        <v>3.6968576709796668E-3</v>
      </c>
      <c r="K15" s="39">
        <f>_data_calc!J101</f>
        <v>2.77264325323475E-3</v>
      </c>
      <c r="L15" s="39">
        <f>_data_calc!K101</f>
        <v>1.8484288354898341E-3</v>
      </c>
      <c r="M15" s="39">
        <f>_data_calc!L101</f>
        <v>2.0794824399260631E-3</v>
      </c>
      <c r="N15" s="39">
        <f>_data_calc!M101</f>
        <v>0</v>
      </c>
      <c r="O15" s="39">
        <f>_data_calc!N101</f>
        <v>0</v>
      </c>
    </row>
    <row r="16" spans="2:15" ht="15" x14ac:dyDescent="0.35">
      <c r="B16" s="38" t="str">
        <f>_data_calc!A102</f>
        <v>2017-11</v>
      </c>
      <c r="C16" s="39">
        <f>_data_calc!B102</f>
        <v>1</v>
      </c>
      <c r="D16" s="39">
        <f>_data_calc!C102</f>
        <v>5.6657223796033997E-3</v>
      </c>
      <c r="E16" s="39">
        <f>_data_calc!D102</f>
        <v>3.6827195467422102E-3</v>
      </c>
      <c r="F16" s="39">
        <f>_data_calc!E102</f>
        <v>1.69971671388102E-3</v>
      </c>
      <c r="G16" s="39">
        <f>_data_calc!F102</f>
        <v>1.69971671388102E-3</v>
      </c>
      <c r="H16" s="39">
        <f>_data_calc!G102</f>
        <v>1.8413597733711051E-3</v>
      </c>
      <c r="I16" s="39">
        <f>_data_calc!H102</f>
        <v>1.13314447592068E-3</v>
      </c>
      <c r="J16" s="39">
        <f>_data_calc!I102</f>
        <v>1.8413597733711051E-3</v>
      </c>
      <c r="K16" s="39">
        <f>_data_calc!J102</f>
        <v>1.2747875354107651E-3</v>
      </c>
      <c r="L16" s="39">
        <f>_data_calc!K102</f>
        <v>5.6657223796033991E-4</v>
      </c>
      <c r="M16" s="39">
        <f>_data_calc!L102</f>
        <v>0</v>
      </c>
      <c r="N16" s="39">
        <f>_data_calc!M102</f>
        <v>0</v>
      </c>
      <c r="O16" s="39">
        <f>_data_calc!N102</f>
        <v>0</v>
      </c>
    </row>
    <row r="17" spans="2:15" ht="15" x14ac:dyDescent="0.35">
      <c r="B17" s="38" t="str">
        <f>_data_calc!A103</f>
        <v>2017-12</v>
      </c>
      <c r="C17" s="39">
        <f>_data_calc!B103</f>
        <v>1</v>
      </c>
      <c r="D17" s="39">
        <f>_data_calc!C103</f>
        <v>2.060696890221056E-3</v>
      </c>
      <c r="E17" s="39">
        <f>_data_calc!D103</f>
        <v>2.8100412139378042E-3</v>
      </c>
      <c r="F17" s="39">
        <f>_data_calc!E103</f>
        <v>3.3720494567253648E-3</v>
      </c>
      <c r="G17" s="39">
        <f>_data_calc!F103</f>
        <v>2.6227051330086171E-3</v>
      </c>
      <c r="H17" s="39">
        <f>_data_calc!G103</f>
        <v>2.060696890221056E-3</v>
      </c>
      <c r="I17" s="39">
        <f>_data_calc!H103</f>
        <v>1.686024728362683E-3</v>
      </c>
      <c r="J17" s="39">
        <f>_data_calc!I103</f>
        <v>1.8733608092918699E-4</v>
      </c>
      <c r="K17" s="39">
        <f>_data_calc!J103</f>
        <v>1.87336080929187E-3</v>
      </c>
      <c r="L17" s="39">
        <f>_data_calc!K103</f>
        <v>0</v>
      </c>
      <c r="M17" s="39">
        <f>_data_calc!L103</f>
        <v>0</v>
      </c>
      <c r="N17" s="39">
        <f>_data_calc!M103</f>
        <v>0</v>
      </c>
      <c r="O17" s="39">
        <f>_data_calc!N103</f>
        <v>0</v>
      </c>
    </row>
    <row r="18" spans="2:15" ht="15" x14ac:dyDescent="0.35">
      <c r="B18" s="38" t="str">
        <f>_data_calc!A104</f>
        <v>2018-01</v>
      </c>
      <c r="C18" s="39">
        <f>_data_calc!B104</f>
        <v>1</v>
      </c>
      <c r="D18" s="39">
        <f>_data_calc!C104</f>
        <v>3.3615901783104361E-3</v>
      </c>
      <c r="E18" s="39">
        <f>_data_calc!D104</f>
        <v>3.6539023677287339E-3</v>
      </c>
      <c r="F18" s="39">
        <f>_data_calc!E104</f>
        <v>2.9231218941829871E-3</v>
      </c>
      <c r="G18" s="39">
        <f>_data_calc!F104</f>
        <v>2.9231218941829871E-3</v>
      </c>
      <c r="H18" s="39">
        <f>_data_calc!G104</f>
        <v>1.6077170418006431E-3</v>
      </c>
      <c r="I18" s="39">
        <f>_data_calc!H104</f>
        <v>1.7538731365097919E-3</v>
      </c>
      <c r="J18" s="39">
        <f>_data_calc!I104</f>
        <v>2.3384975153463898E-3</v>
      </c>
      <c r="K18" s="39">
        <f>_data_calc!J104</f>
        <v>0</v>
      </c>
      <c r="L18" s="39">
        <f>_data_calc!K104</f>
        <v>0</v>
      </c>
      <c r="M18" s="39">
        <f>_data_calc!L104</f>
        <v>0</v>
      </c>
      <c r="N18" s="39">
        <f>_data_calc!M104</f>
        <v>0</v>
      </c>
      <c r="O18" s="39">
        <f>_data_calc!N104</f>
        <v>0</v>
      </c>
    </row>
    <row r="19" spans="2:15" ht="15" x14ac:dyDescent="0.35">
      <c r="B19" s="38" t="str">
        <f>_data_calc!A105</f>
        <v>2018-02</v>
      </c>
      <c r="C19" s="39">
        <f>_data_calc!B105</f>
        <v>1</v>
      </c>
      <c r="D19" s="39">
        <f>_data_calc!C105</f>
        <v>3.4987277353689568E-3</v>
      </c>
      <c r="E19" s="39">
        <f>_data_calc!D105</f>
        <v>3.9758269720101781E-3</v>
      </c>
      <c r="F19" s="39">
        <f>_data_calc!E105</f>
        <v>3.0216284987277351E-3</v>
      </c>
      <c r="G19" s="39">
        <f>_data_calc!F105</f>
        <v>2.5445292620865142E-3</v>
      </c>
      <c r="H19" s="39">
        <f>_data_calc!G105</f>
        <v>2.2264631043257001E-3</v>
      </c>
      <c r="I19" s="39">
        <f>_data_calc!H105</f>
        <v>2.067430025445292E-3</v>
      </c>
      <c r="J19" s="39">
        <f>_data_calc!I105</f>
        <v>0</v>
      </c>
      <c r="K19" s="39">
        <f>_data_calc!J105</f>
        <v>0</v>
      </c>
      <c r="L19" s="39">
        <f>_data_calc!K105</f>
        <v>0</v>
      </c>
      <c r="M19" s="39">
        <f>_data_calc!L105</f>
        <v>0</v>
      </c>
      <c r="N19" s="39">
        <f>_data_calc!M105</f>
        <v>0</v>
      </c>
      <c r="O19" s="39">
        <f>_data_calc!N105</f>
        <v>0</v>
      </c>
    </row>
    <row r="20" spans="2:15" ht="15" x14ac:dyDescent="0.35">
      <c r="B20" s="38" t="str">
        <f>_data_calc!A106</f>
        <v>2018-03</v>
      </c>
      <c r="C20" s="39">
        <f>_data_calc!B106</f>
        <v>1</v>
      </c>
      <c r="D20" s="39">
        <f>_data_calc!C106</f>
        <v>3.9858281665190436E-3</v>
      </c>
      <c r="E20" s="39">
        <f>_data_calc!D106</f>
        <v>2.9524653085326248E-3</v>
      </c>
      <c r="F20" s="39">
        <f>_data_calc!E106</f>
        <v>2.9524653085326248E-3</v>
      </c>
      <c r="G20" s="39">
        <f>_data_calc!F106</f>
        <v>1.1809861234130499E-3</v>
      </c>
      <c r="H20" s="39">
        <f>_data_calc!G106</f>
        <v>1.1809861234130499E-3</v>
      </c>
      <c r="I20" s="39">
        <f>_data_calc!H106</f>
        <v>0</v>
      </c>
      <c r="J20" s="39">
        <f>_data_calc!I106</f>
        <v>0</v>
      </c>
      <c r="K20" s="39">
        <f>_data_calc!J106</f>
        <v>0</v>
      </c>
      <c r="L20" s="39">
        <f>_data_calc!K106</f>
        <v>0</v>
      </c>
      <c r="M20" s="39">
        <f>_data_calc!L106</f>
        <v>0</v>
      </c>
      <c r="N20" s="39">
        <f>_data_calc!M106</f>
        <v>0</v>
      </c>
      <c r="O20" s="39">
        <f>_data_calc!N106</f>
        <v>0</v>
      </c>
    </row>
    <row r="21" spans="2:15" ht="15" x14ac:dyDescent="0.35">
      <c r="B21" s="38" t="str">
        <f>_data_calc!A107</f>
        <v>2018-04</v>
      </c>
      <c r="C21" s="39">
        <f>_data_calc!B107</f>
        <v>1</v>
      </c>
      <c r="D21" s="39">
        <f>_data_calc!C107</f>
        <v>5.9252506836827709E-3</v>
      </c>
      <c r="E21" s="39">
        <f>_data_calc!D107</f>
        <v>3.038590094196293E-3</v>
      </c>
      <c r="F21" s="39">
        <f>_data_calc!E107</f>
        <v>2.4308720753570341E-3</v>
      </c>
      <c r="G21" s="39">
        <f>_data_calc!F107</f>
        <v>1.3673655423883321E-3</v>
      </c>
      <c r="H21" s="39">
        <f>_data_calc!G107</f>
        <v>0</v>
      </c>
      <c r="I21" s="39">
        <f>_data_calc!H107</f>
        <v>0</v>
      </c>
      <c r="J21" s="39">
        <f>_data_calc!I107</f>
        <v>0</v>
      </c>
      <c r="K21" s="39">
        <f>_data_calc!J107</f>
        <v>0</v>
      </c>
      <c r="L21" s="39">
        <f>_data_calc!K107</f>
        <v>0</v>
      </c>
      <c r="M21" s="39">
        <f>_data_calc!L107</f>
        <v>0</v>
      </c>
      <c r="N21" s="39">
        <f>_data_calc!M107</f>
        <v>0</v>
      </c>
      <c r="O21" s="39">
        <f>_data_calc!N107</f>
        <v>0</v>
      </c>
    </row>
    <row r="22" spans="2:15" ht="15" x14ac:dyDescent="0.35">
      <c r="B22" s="38" t="str">
        <f>_data_calc!A108</f>
        <v>2018-05</v>
      </c>
      <c r="C22" s="39">
        <f>_data_calc!B108</f>
        <v>1</v>
      </c>
      <c r="D22" s="39">
        <f>_data_calc!C108</f>
        <v>5.2259452812788197E-3</v>
      </c>
      <c r="E22" s="39">
        <f>_data_calc!D108</f>
        <v>2.6129726406394099E-3</v>
      </c>
      <c r="F22" s="39">
        <f>_data_calc!E108</f>
        <v>1.8444512757454659E-3</v>
      </c>
      <c r="G22" s="39">
        <f>_data_calc!F108</f>
        <v>0</v>
      </c>
      <c r="H22" s="39">
        <f>_data_calc!G108</f>
        <v>0</v>
      </c>
      <c r="I22" s="39">
        <f>_data_calc!H108</f>
        <v>0</v>
      </c>
      <c r="J22" s="39">
        <f>_data_calc!I108</f>
        <v>0</v>
      </c>
      <c r="K22" s="39">
        <f>_data_calc!J108</f>
        <v>0</v>
      </c>
      <c r="L22" s="39">
        <f>_data_calc!K108</f>
        <v>0</v>
      </c>
      <c r="M22" s="39">
        <f>_data_calc!L108</f>
        <v>0</v>
      </c>
      <c r="N22" s="39">
        <f>_data_calc!M108</f>
        <v>0</v>
      </c>
      <c r="O22" s="39">
        <f>_data_calc!N108</f>
        <v>0</v>
      </c>
    </row>
    <row r="23" spans="2:15" ht="15" x14ac:dyDescent="0.35">
      <c r="B23" s="38" t="str">
        <f>_data_calc!A109</f>
        <v>2018-06</v>
      </c>
      <c r="C23" s="39">
        <f>_data_calc!B109</f>
        <v>1</v>
      </c>
      <c r="D23" s="39">
        <f>_data_calc!C109</f>
        <v>4.2531473290234774E-3</v>
      </c>
      <c r="E23" s="39">
        <f>_data_calc!D109</f>
        <v>2.722014290575025E-3</v>
      </c>
      <c r="F23" s="39">
        <f>_data_calc!E109</f>
        <v>0</v>
      </c>
      <c r="G23" s="39">
        <f>_data_calc!F109</f>
        <v>0</v>
      </c>
      <c r="H23" s="39">
        <f>_data_calc!G109</f>
        <v>0</v>
      </c>
      <c r="I23" s="39">
        <f>_data_calc!H109</f>
        <v>0</v>
      </c>
      <c r="J23" s="39">
        <f>_data_calc!I109</f>
        <v>0</v>
      </c>
      <c r="K23" s="39">
        <f>_data_calc!J109</f>
        <v>0</v>
      </c>
      <c r="L23" s="39">
        <f>_data_calc!K109</f>
        <v>0</v>
      </c>
      <c r="M23" s="39">
        <f>_data_calc!L109</f>
        <v>0</v>
      </c>
      <c r="N23" s="39">
        <f>_data_calc!M109</f>
        <v>0</v>
      </c>
      <c r="O23" s="39">
        <f>_data_calc!N109</f>
        <v>0</v>
      </c>
    </row>
    <row r="24" spans="2:15" ht="15" x14ac:dyDescent="0.35">
      <c r="B24" s="38" t="str">
        <f>_data_calc!A110</f>
        <v>2018-07</v>
      </c>
      <c r="C24" s="39">
        <f>_data_calc!B110</f>
        <v>1</v>
      </c>
      <c r="D24" s="39">
        <f>_data_calc!C110</f>
        <v>5.2109598251807044E-3</v>
      </c>
      <c r="E24" s="39">
        <f>_data_calc!D110</f>
        <v>0</v>
      </c>
      <c r="F24" s="39">
        <f>_data_calc!E110</f>
        <v>0</v>
      </c>
      <c r="G24" s="39">
        <f>_data_calc!F110</f>
        <v>0</v>
      </c>
      <c r="H24" s="39">
        <f>_data_calc!G110</f>
        <v>0</v>
      </c>
      <c r="I24" s="39">
        <f>_data_calc!H110</f>
        <v>0</v>
      </c>
      <c r="J24" s="39">
        <f>_data_calc!I110</f>
        <v>0</v>
      </c>
      <c r="K24" s="39">
        <f>_data_calc!J110</f>
        <v>0</v>
      </c>
      <c r="L24" s="39">
        <f>_data_calc!K110</f>
        <v>0</v>
      </c>
      <c r="M24" s="39">
        <f>_data_calc!L110</f>
        <v>0</v>
      </c>
      <c r="N24" s="39">
        <f>_data_calc!M110</f>
        <v>0</v>
      </c>
      <c r="O24" s="39">
        <f>_data_calc!N110</f>
        <v>0</v>
      </c>
    </row>
    <row r="25" spans="2:15" ht="15" x14ac:dyDescent="0.35">
      <c r="B25" s="38" t="str">
        <f>_data_calc!A111</f>
        <v>2018-08</v>
      </c>
      <c r="C25" s="39">
        <f>_data_calc!B111</f>
        <v>1</v>
      </c>
      <c r="D25" s="39">
        <f>_data_calc!C111</f>
        <v>0</v>
      </c>
      <c r="E25" s="39">
        <f>_data_calc!D111</f>
        <v>0</v>
      </c>
      <c r="F25" s="39">
        <f>_data_calc!E111</f>
        <v>0</v>
      </c>
      <c r="G25" s="39">
        <f>_data_calc!F111</f>
        <v>0</v>
      </c>
      <c r="H25" s="39">
        <f>_data_calc!G111</f>
        <v>0</v>
      </c>
      <c r="I25" s="39">
        <f>_data_calc!H111</f>
        <v>0</v>
      </c>
      <c r="J25" s="39">
        <f>_data_calc!I111</f>
        <v>0</v>
      </c>
      <c r="K25" s="39">
        <f>_data_calc!J111</f>
        <v>0</v>
      </c>
      <c r="L25" s="39">
        <f>_data_calc!K111</f>
        <v>0</v>
      </c>
      <c r="M25" s="39">
        <f>_data_calc!L111</f>
        <v>0</v>
      </c>
      <c r="N25" s="39">
        <f>_data_calc!M111</f>
        <v>0</v>
      </c>
      <c r="O25" s="39">
        <f>_data_calc!N111</f>
        <v>0</v>
      </c>
    </row>
  </sheetData>
  <phoneticPr fontId="23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18" t="s">
        <v>311</v>
      </c>
      <c r="C2" s="2"/>
      <c r="D2" s="2"/>
      <c r="E2" s="2"/>
      <c r="F2" s="2"/>
      <c r="G2" s="2"/>
    </row>
    <row r="3" spans="2:7" x14ac:dyDescent="0.3">
      <c r="B3" s="21" t="s">
        <v>312</v>
      </c>
      <c r="C3" s="2"/>
      <c r="D3" s="2"/>
      <c r="E3" s="2"/>
      <c r="F3" s="2"/>
      <c r="G3" s="2"/>
    </row>
    <row r="5" spans="2:7" ht="17" x14ac:dyDescent="0.4">
      <c r="B5" s="6" t="s">
        <v>313</v>
      </c>
    </row>
    <row r="6" spans="2:7" x14ac:dyDescent="0.3">
      <c r="B6" s="10" t="s">
        <v>314</v>
      </c>
      <c r="C6" s="10" t="s">
        <v>242</v>
      </c>
      <c r="D6" s="10" t="s">
        <v>315</v>
      </c>
      <c r="E6" s="10" t="s">
        <v>316</v>
      </c>
    </row>
    <row r="7" spans="2:7" ht="15.5" x14ac:dyDescent="0.35">
      <c r="B7" s="14" t="s">
        <v>317</v>
      </c>
      <c r="C7" s="40">
        <v>21975</v>
      </c>
      <c r="D7" s="41" t="s">
        <v>318</v>
      </c>
      <c r="E7" s="41" t="s">
        <v>319</v>
      </c>
    </row>
    <row r="8" spans="2:7" ht="15.5" x14ac:dyDescent="0.35">
      <c r="B8" s="14" t="s">
        <v>320</v>
      </c>
      <c r="C8" s="42">
        <v>213</v>
      </c>
      <c r="D8" s="41" t="s">
        <v>321</v>
      </c>
      <c r="E8" s="41" t="s">
        <v>322</v>
      </c>
    </row>
    <row r="9" spans="2:7" ht="15.5" x14ac:dyDescent="0.35">
      <c r="B9" s="14" t="s">
        <v>323</v>
      </c>
      <c r="C9" s="43">
        <v>0.5</v>
      </c>
      <c r="D9" s="41" t="s">
        <v>324</v>
      </c>
      <c r="E9" s="41" t="s">
        <v>325</v>
      </c>
    </row>
    <row r="10" spans="2:7" ht="15.5" x14ac:dyDescent="0.35">
      <c r="B10" s="14" t="s">
        <v>326</v>
      </c>
      <c r="C10" s="40">
        <v>50000</v>
      </c>
      <c r="D10" s="41" t="s">
        <v>318</v>
      </c>
      <c r="E10" s="41" t="s">
        <v>327</v>
      </c>
    </row>
    <row r="13" spans="2:7" ht="17" x14ac:dyDescent="0.4">
      <c r="B13" s="6" t="s">
        <v>328</v>
      </c>
    </row>
    <row r="14" spans="2:7" x14ac:dyDescent="0.3">
      <c r="B14" s="10" t="s">
        <v>241</v>
      </c>
      <c r="C14" s="10" t="s">
        <v>329</v>
      </c>
      <c r="D14" s="10" t="s">
        <v>330</v>
      </c>
      <c r="E14" s="10" t="s">
        <v>331</v>
      </c>
      <c r="F14" s="10" t="s">
        <v>332</v>
      </c>
    </row>
    <row r="15" spans="2:7" ht="15" x14ac:dyDescent="0.35">
      <c r="B15" s="14" t="s">
        <v>333</v>
      </c>
      <c r="D15" s="44">
        <v>0.05</v>
      </c>
      <c r="E15" s="44">
        <v>0.1</v>
      </c>
      <c r="F15" s="44">
        <v>0.2</v>
      </c>
      <c r="G15" s="45">
        <v>0.1</v>
      </c>
    </row>
    <row r="16" spans="2:7" ht="15" x14ac:dyDescent="0.35">
      <c r="B16" s="14" t="s">
        <v>334</v>
      </c>
      <c r="D16" s="33">
        <f>At_Risk_Count*D15</f>
        <v>1098.75</v>
      </c>
      <c r="E16" s="33">
        <f>At_Risk_Count*E15</f>
        <v>2197.5</v>
      </c>
      <c r="F16" s="33">
        <f>At_Risk_Count*F15</f>
        <v>4395</v>
      </c>
      <c r="G16" s="33">
        <f>At_Risk_Count*G15</f>
        <v>2197.5</v>
      </c>
    </row>
    <row r="17" spans="2:7" ht="15" x14ac:dyDescent="0.35">
      <c r="B17" s="14" t="s">
        <v>335</v>
      </c>
      <c r="D17" s="33">
        <f>At_Risk_Count*D15*ARPU*Repeat_Spend</f>
        <v>117016.875</v>
      </c>
      <c r="E17" s="33">
        <f>At_Risk_Count*E15*ARPU*Repeat_Spend</f>
        <v>234033.75</v>
      </c>
      <c r="F17" s="33">
        <f>At_Risk_Count*F15*ARPU*Repeat_Spend</f>
        <v>468067.5</v>
      </c>
      <c r="G17" s="33">
        <f>At_Risk_Count*G15*ARPU*Repeat_Spend</f>
        <v>234033.75</v>
      </c>
    </row>
    <row r="18" spans="2:7" ht="15" x14ac:dyDescent="0.35">
      <c r="B18" s="14" t="s">
        <v>336</v>
      </c>
      <c r="D18" s="33">
        <f>CRM_Cost</f>
        <v>50000</v>
      </c>
      <c r="E18" s="33">
        <f>CRM_Cost</f>
        <v>50000</v>
      </c>
      <c r="F18" s="33">
        <f>CRM_Cost</f>
        <v>50000</v>
      </c>
      <c r="G18" s="33">
        <f>CRM_Cost</f>
        <v>50000</v>
      </c>
    </row>
    <row r="19" spans="2:7" ht="15" x14ac:dyDescent="0.35">
      <c r="B19" s="14" t="s">
        <v>337</v>
      </c>
      <c r="D19" s="46">
        <f>D17-D18</f>
        <v>67016.875</v>
      </c>
      <c r="E19" s="46">
        <f>E17-E18</f>
        <v>184033.75</v>
      </c>
      <c r="F19" s="46">
        <f>F17-F18</f>
        <v>418067.5</v>
      </c>
      <c r="G19" s="46">
        <f>G17-G18</f>
        <v>184033.75</v>
      </c>
    </row>
    <row r="20" spans="2:7" ht="18.5" x14ac:dyDescent="0.35">
      <c r="B20" s="47" t="s">
        <v>338</v>
      </c>
      <c r="D20" s="48">
        <f>D17/D18</f>
        <v>2.3403375</v>
      </c>
      <c r="E20" s="48">
        <f>E17/E18</f>
        <v>4.6806749999999999</v>
      </c>
      <c r="F20" s="48">
        <f>F17/F18</f>
        <v>9.3613499999999998</v>
      </c>
      <c r="G20" s="48">
        <f>G17/G18</f>
        <v>4.6806749999999999</v>
      </c>
    </row>
    <row r="22" spans="2:7" ht="17" x14ac:dyDescent="0.4">
      <c r="B22" s="6" t="s">
        <v>339</v>
      </c>
    </row>
    <row r="23" spans="2:7" ht="15" x14ac:dyDescent="0.35">
      <c r="B23" s="49" t="s">
        <v>340</v>
      </c>
    </row>
    <row r="24" spans="2:7" ht="15" x14ac:dyDescent="0.35">
      <c r="B24" s="49" t="s">
        <v>341</v>
      </c>
    </row>
  </sheetData>
  <phoneticPr fontId="2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18" t="s">
        <v>342</v>
      </c>
      <c r="C2" s="2"/>
      <c r="D2" s="2"/>
      <c r="E2" s="2"/>
      <c r="F2" s="2"/>
    </row>
    <row r="3" spans="2:6" x14ac:dyDescent="0.3">
      <c r="B3" s="21" t="s">
        <v>343</v>
      </c>
      <c r="C3" s="2"/>
      <c r="D3" s="2"/>
      <c r="E3" s="2"/>
      <c r="F3" s="2"/>
    </row>
    <row r="5" spans="2:6" x14ac:dyDescent="0.3">
      <c r="B5" s="10" t="s">
        <v>344</v>
      </c>
      <c r="C5" s="10" t="s">
        <v>255</v>
      </c>
      <c r="D5" s="10" t="s">
        <v>345</v>
      </c>
      <c r="E5" s="10" t="s">
        <v>277</v>
      </c>
      <c r="F5" s="10" t="s">
        <v>346</v>
      </c>
    </row>
    <row r="6" spans="2:6" x14ac:dyDescent="0.3">
      <c r="B6" s="34" t="str">
        <f>_data_calc!A64</f>
        <v>1 (single)</v>
      </c>
      <c r="C6" s="23">
        <f>_data_calc!B64</f>
        <v>25455</v>
      </c>
      <c r="D6" s="37">
        <f>_data_calc!C64</f>
        <v>95.87</v>
      </c>
      <c r="E6" s="23">
        <f>_data_calc!D64</f>
        <v>23931</v>
      </c>
      <c r="F6" s="50">
        <f>_data_calc!E64</f>
        <v>2.5100000000000001E-2</v>
      </c>
    </row>
    <row r="7" spans="2:6" x14ac:dyDescent="0.3">
      <c r="B7" s="34" t="str">
        <f>_data_calc!A65</f>
        <v>2-3 installments</v>
      </c>
      <c r="C7" s="23">
        <f>_data_calc!B65</f>
        <v>22874</v>
      </c>
      <c r="D7" s="37">
        <f>_data_calc!C65</f>
        <v>134.22999999999999</v>
      </c>
      <c r="E7" s="23">
        <f>_data_calc!D65</f>
        <v>21502</v>
      </c>
      <c r="F7" s="50">
        <f>_data_calc!E65</f>
        <v>2.81E-2</v>
      </c>
    </row>
    <row r="8" spans="2:6" x14ac:dyDescent="0.3">
      <c r="B8" s="34" t="str">
        <f>_data_calc!A66</f>
        <v>4-6 installments</v>
      </c>
      <c r="C8" s="23">
        <f>_data_calc!B66</f>
        <v>16257</v>
      </c>
      <c r="D8" s="37">
        <f>_data_calc!C66</f>
        <v>181.32</v>
      </c>
      <c r="E8" s="23">
        <f>_data_calc!D66</f>
        <v>15173</v>
      </c>
      <c r="F8" s="50">
        <f>_data_calc!E66</f>
        <v>3.1800000000000002E-2</v>
      </c>
    </row>
    <row r="9" spans="2:6" x14ac:dyDescent="0.3">
      <c r="B9" s="34" t="str">
        <f>_data_calc!A67</f>
        <v>7-10 installments</v>
      </c>
      <c r="C9" s="23">
        <f>_data_calc!B67</f>
        <v>11866</v>
      </c>
      <c r="D9" s="37">
        <f>_data_calc!C67</f>
        <v>333.83</v>
      </c>
      <c r="E9" s="23">
        <f>_data_calc!D67</f>
        <v>10966</v>
      </c>
      <c r="F9" s="50">
        <f>_data_calc!E67</f>
        <v>4.1300000000000003E-2</v>
      </c>
    </row>
    <row r="10" spans="2:6" x14ac:dyDescent="0.3">
      <c r="B10" s="34" t="str">
        <f>_data_calc!A68</f>
        <v>11+ installments</v>
      </c>
      <c r="C10" s="23">
        <f>_data_calc!B68</f>
        <v>341</v>
      </c>
      <c r="D10" s="37">
        <f>_data_calc!C68</f>
        <v>358.34</v>
      </c>
      <c r="E10" s="23">
        <f>_data_calc!D68</f>
        <v>311</v>
      </c>
      <c r="F10" s="50">
        <f>_data_calc!E68</f>
        <v>4.1799999999999997E-2</v>
      </c>
    </row>
  </sheetData>
  <phoneticPr fontId="23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18" t="s">
        <v>347</v>
      </c>
      <c r="C2" s="2"/>
      <c r="D2" s="2"/>
      <c r="E2" s="2"/>
    </row>
    <row r="3" spans="2:5" x14ac:dyDescent="0.3">
      <c r="B3" s="21" t="s">
        <v>348</v>
      </c>
      <c r="C3" s="2"/>
      <c r="D3" s="2"/>
      <c r="E3" s="2"/>
    </row>
    <row r="5" spans="2:5" x14ac:dyDescent="0.3">
      <c r="B5" s="10" t="s">
        <v>349</v>
      </c>
      <c r="C5" s="10" t="s">
        <v>350</v>
      </c>
      <c r="D5" s="10" t="s">
        <v>351</v>
      </c>
      <c r="E5" s="10" t="s">
        <v>352</v>
      </c>
    </row>
    <row r="6" spans="2:5" ht="15" x14ac:dyDescent="0.35">
      <c r="B6" s="14" t="str">
        <f>_data_calc!A73</f>
        <v>SP</v>
      </c>
      <c r="C6" s="36">
        <f>_data_calc!B73</f>
        <v>8.8000000000000007</v>
      </c>
      <c r="D6" s="36">
        <f>_data_calc!C73</f>
        <v>19.100000000000001</v>
      </c>
      <c r="E6" s="36">
        <f>_data_calc!D73</f>
        <v>10.3</v>
      </c>
    </row>
    <row r="7" spans="2:5" ht="15" x14ac:dyDescent="0.35">
      <c r="B7" s="14" t="str">
        <f>_data_calc!A74</f>
        <v>MG</v>
      </c>
      <c r="C7" s="36">
        <f>_data_calc!B74</f>
        <v>12</v>
      </c>
      <c r="D7" s="36">
        <f>_data_calc!C74</f>
        <v>24.5</v>
      </c>
      <c r="E7" s="36">
        <f>_data_calc!D74</f>
        <v>12.5</v>
      </c>
    </row>
    <row r="8" spans="2:5" ht="15" x14ac:dyDescent="0.35">
      <c r="B8" s="14" t="str">
        <f>_data_calc!A75</f>
        <v>PR</v>
      </c>
      <c r="C8" s="36">
        <f>_data_calc!B75</f>
        <v>12</v>
      </c>
      <c r="D8" s="36">
        <f>_data_calc!C75</f>
        <v>24.6</v>
      </c>
      <c r="E8" s="36">
        <f>_data_calc!D75</f>
        <v>12.6</v>
      </c>
    </row>
    <row r="9" spans="2:5" ht="15" x14ac:dyDescent="0.35">
      <c r="B9" s="14" t="str">
        <f>_data_calc!A76</f>
        <v>DF</v>
      </c>
      <c r="C9" s="36">
        <f>_data_calc!B76</f>
        <v>13</v>
      </c>
      <c r="D9" s="36">
        <f>_data_calc!C76</f>
        <v>24.3</v>
      </c>
      <c r="E9" s="36">
        <f>_data_calc!D76</f>
        <v>11.3</v>
      </c>
    </row>
    <row r="10" spans="2:5" ht="15" x14ac:dyDescent="0.35">
      <c r="B10" s="14" t="str">
        <f>_data_calc!A77</f>
        <v>SC</v>
      </c>
      <c r="C10" s="36">
        <f>_data_calc!B77</f>
        <v>15</v>
      </c>
      <c r="D10" s="36">
        <f>_data_calc!C77</f>
        <v>25.8</v>
      </c>
      <c r="E10" s="36">
        <f>_data_calc!D77</f>
        <v>10.8</v>
      </c>
    </row>
    <row r="11" spans="2:5" ht="15" x14ac:dyDescent="0.35">
      <c r="B11" s="14" t="str">
        <f>_data_calc!A78</f>
        <v>RJ</v>
      </c>
      <c r="C11" s="36">
        <f>_data_calc!B78</f>
        <v>15.3</v>
      </c>
      <c r="D11" s="36">
        <f>_data_calc!C78</f>
        <v>26.4</v>
      </c>
      <c r="E11" s="36">
        <f>_data_calc!D78</f>
        <v>11.1</v>
      </c>
    </row>
    <row r="12" spans="2:5" ht="15" x14ac:dyDescent="0.35">
      <c r="B12" s="14" t="str">
        <f>_data_calc!A79</f>
        <v>RS</v>
      </c>
      <c r="C12" s="36">
        <f>_data_calc!B79</f>
        <v>15.3</v>
      </c>
      <c r="D12" s="36">
        <f>_data_calc!C79</f>
        <v>28.5</v>
      </c>
      <c r="E12" s="36">
        <f>_data_calc!D79</f>
        <v>13.2</v>
      </c>
    </row>
    <row r="13" spans="2:5" ht="15" x14ac:dyDescent="0.35">
      <c r="B13" s="14" t="str">
        <f>_data_calc!A80</f>
        <v>GO</v>
      </c>
      <c r="C13" s="36">
        <f>_data_calc!B80</f>
        <v>15.6</v>
      </c>
      <c r="D13" s="36">
        <f>_data_calc!C80</f>
        <v>27.1</v>
      </c>
      <c r="E13" s="36">
        <f>_data_calc!D80</f>
        <v>11.5</v>
      </c>
    </row>
    <row r="14" spans="2:5" ht="15" x14ac:dyDescent="0.35">
      <c r="B14" s="14" t="str">
        <f>_data_calc!A81</f>
        <v>MS</v>
      </c>
      <c r="C14" s="36">
        <f>_data_calc!B81</f>
        <v>15.6</v>
      </c>
      <c r="D14" s="36">
        <f>_data_calc!C81</f>
        <v>26</v>
      </c>
      <c r="E14" s="36">
        <f>_data_calc!D81</f>
        <v>10.4</v>
      </c>
    </row>
    <row r="15" spans="2:5" ht="15" x14ac:dyDescent="0.35">
      <c r="B15" s="14" t="str">
        <f>_data_calc!A82</f>
        <v>ES</v>
      </c>
      <c r="C15" s="36">
        <f>_data_calc!B82</f>
        <v>15.8</v>
      </c>
      <c r="D15" s="36">
        <f>_data_calc!C82</f>
        <v>25.6</v>
      </c>
      <c r="E15" s="36">
        <f>_data_calc!D82</f>
        <v>9.8000000000000007</v>
      </c>
    </row>
    <row r="16" spans="2:5" ht="15" x14ac:dyDescent="0.35">
      <c r="B16" s="14" t="str">
        <f>_data_calc!A83</f>
        <v>TO</v>
      </c>
      <c r="C16" s="36">
        <f>_data_calc!B83</f>
        <v>17.7</v>
      </c>
      <c r="D16" s="36">
        <f>_data_calc!C83</f>
        <v>29.1</v>
      </c>
      <c r="E16" s="36">
        <f>_data_calc!D83</f>
        <v>11.4</v>
      </c>
    </row>
    <row r="17" spans="2:5" ht="15" x14ac:dyDescent="0.35">
      <c r="B17" s="14" t="str">
        <f>_data_calc!A84</f>
        <v>MT</v>
      </c>
      <c r="C17" s="36">
        <f>_data_calc!B84</f>
        <v>18.100000000000001</v>
      </c>
      <c r="D17" s="36">
        <f>_data_calc!C84</f>
        <v>31.7</v>
      </c>
      <c r="E17" s="36">
        <f>_data_calc!D84</f>
        <v>13.6</v>
      </c>
    </row>
    <row r="18" spans="2:5" ht="15" x14ac:dyDescent="0.35">
      <c r="B18" s="14" t="str">
        <f>_data_calc!A85</f>
        <v>PE</v>
      </c>
      <c r="C18" s="36">
        <f>_data_calc!B85</f>
        <v>18.399999999999999</v>
      </c>
      <c r="D18" s="36">
        <f>_data_calc!C85</f>
        <v>31.1</v>
      </c>
      <c r="E18" s="36">
        <f>_data_calc!D85</f>
        <v>12.7</v>
      </c>
    </row>
    <row r="19" spans="2:5" ht="15" x14ac:dyDescent="0.35">
      <c r="B19" s="14" t="str">
        <f>_data_calc!A86</f>
        <v>BA</v>
      </c>
      <c r="C19" s="36">
        <f>_data_calc!B86</f>
        <v>19.3</v>
      </c>
      <c r="D19" s="36">
        <f>_data_calc!C86</f>
        <v>29.4</v>
      </c>
      <c r="E19" s="36">
        <f>_data_calc!D86</f>
        <v>10.1</v>
      </c>
    </row>
    <row r="20" spans="2:5" ht="15" x14ac:dyDescent="0.35">
      <c r="B20" s="14" t="str">
        <f>_data_calc!A87</f>
        <v>RN</v>
      </c>
      <c r="C20" s="36">
        <f>_data_calc!B87</f>
        <v>19.3</v>
      </c>
      <c r="D20" s="36">
        <f>_data_calc!C87</f>
        <v>32.200000000000003</v>
      </c>
      <c r="E20" s="36">
        <f>_data_calc!D87</f>
        <v>12.9</v>
      </c>
    </row>
  </sheetData>
  <phoneticPr fontId="23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O132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14" customWidth="1"/>
    <col min="9" max="9" width="4" customWidth="1"/>
    <col min="10" max="11" width="14" customWidth="1"/>
    <col min="12" max="12" width="12" customWidth="1"/>
    <col min="13" max="13" width="4" customWidth="1"/>
    <col min="14" max="15" width="26" customWidth="1"/>
    <col min="16" max="16" width="2" customWidth="1"/>
  </cols>
  <sheetData>
    <row r="2" spans="2:15" ht="23.5" x14ac:dyDescent="0.3">
      <c r="B2" s="18" t="s">
        <v>353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5" spans="2:15" ht="17" x14ac:dyDescent="0.4">
      <c r="B5" s="6" t="s">
        <v>354</v>
      </c>
      <c r="N5" s="4" t="s">
        <v>355</v>
      </c>
    </row>
    <row r="6" spans="2:15" x14ac:dyDescent="0.3">
      <c r="N6" s="10" t="s">
        <v>356</v>
      </c>
      <c r="O6" s="10" t="s">
        <v>357</v>
      </c>
    </row>
    <row r="7" spans="2:15" x14ac:dyDescent="0.3">
      <c r="B7" s="10" t="s">
        <v>358</v>
      </c>
      <c r="C7" s="10" t="s">
        <v>359</v>
      </c>
      <c r="D7" s="10" t="s">
        <v>360</v>
      </c>
      <c r="E7" s="10" t="s">
        <v>361</v>
      </c>
      <c r="N7" s="51" t="s">
        <v>362</v>
      </c>
      <c r="O7" s="51" t="s">
        <v>363</v>
      </c>
    </row>
    <row r="8" spans="2:15" x14ac:dyDescent="0.3">
      <c r="B8" s="51" t="s">
        <v>362</v>
      </c>
      <c r="C8" s="51" t="str">
        <f>VLOOKUP(B8,$N$7:$O$77,2,FALSE)</f>
        <v>health_beauty</v>
      </c>
      <c r="D8" s="51" t="str">
        <f>INDEX($O$7:$O$77,MATCH(B8,$N$7:$N$77,0))</f>
        <v>health_beauty</v>
      </c>
      <c r="E8" s="51" t="str">
        <f>_xlfn.XLOOKUP(B8,$N$7:$N$77,$O$7:$O$77,"not found")</f>
        <v>health_beauty</v>
      </c>
      <c r="N8" s="51" t="s">
        <v>364</v>
      </c>
      <c r="O8" s="51" t="s">
        <v>365</v>
      </c>
    </row>
    <row r="9" spans="2:15" x14ac:dyDescent="0.3">
      <c r="B9" s="51" t="s">
        <v>364</v>
      </c>
      <c r="C9" s="51" t="str">
        <f>VLOOKUP(B9,$N$7:$O$77,2,FALSE)</f>
        <v>computers_accessories</v>
      </c>
      <c r="D9" s="51" t="str">
        <f>INDEX($O$7:$O$77,MATCH(B9,$N$7:$N$77,0))</f>
        <v>computers_accessories</v>
      </c>
      <c r="E9" s="51" t="str">
        <f>_xlfn.XLOOKUP(B9,$N$7:$N$77,$O$7:$O$77,"not found")</f>
        <v>computers_accessories</v>
      </c>
      <c r="N9" s="51" t="s">
        <v>366</v>
      </c>
      <c r="O9" s="51" t="s">
        <v>367</v>
      </c>
    </row>
    <row r="10" spans="2:15" x14ac:dyDescent="0.3">
      <c r="B10" s="51" t="s">
        <v>366</v>
      </c>
      <c r="C10" s="51" t="str">
        <f>VLOOKUP(B10,$N$7:$O$77,2,FALSE)</f>
        <v>auto</v>
      </c>
      <c r="D10" s="51" t="str">
        <f>INDEX($O$7:$O$77,MATCH(B10,$N$7:$N$77,0))</f>
        <v>auto</v>
      </c>
      <c r="E10" s="51" t="str">
        <f>_xlfn.XLOOKUP(B10,$N$7:$N$77,$O$7:$O$77,"not found")</f>
        <v>auto</v>
      </c>
      <c r="N10" s="51" t="s">
        <v>368</v>
      </c>
      <c r="O10" s="51" t="s">
        <v>369</v>
      </c>
    </row>
    <row r="11" spans="2:15" x14ac:dyDescent="0.3">
      <c r="B11" s="51" t="s">
        <v>368</v>
      </c>
      <c r="C11" s="51" t="str">
        <f>VLOOKUP(B11,$N$7:$O$77,2,FALSE)</f>
        <v>bed_bath_table</v>
      </c>
      <c r="D11" s="51" t="str">
        <f>INDEX($O$7:$O$77,MATCH(B11,$N$7:$N$77,0))</f>
        <v>bed_bath_table</v>
      </c>
      <c r="E11" s="51" t="str">
        <f>_xlfn.XLOOKUP(B11,$N$7:$N$77,$O$7:$O$77,"not found")</f>
        <v>bed_bath_table</v>
      </c>
      <c r="N11" s="51" t="s">
        <v>370</v>
      </c>
      <c r="O11" s="51" t="s">
        <v>371</v>
      </c>
    </row>
    <row r="12" spans="2:15" x14ac:dyDescent="0.3">
      <c r="B12" s="51" t="s">
        <v>370</v>
      </c>
      <c r="C12" s="51" t="str">
        <f>VLOOKUP(B12,$N$7:$O$77,2,FALSE)</f>
        <v>furniture_decor</v>
      </c>
      <c r="D12" s="51" t="str">
        <f>INDEX($O$7:$O$77,MATCH(B12,$N$7:$N$77,0))</f>
        <v>furniture_decor</v>
      </c>
      <c r="E12" s="51" t="str">
        <f>_xlfn.XLOOKUP(B12,$N$7:$N$77,$O$7:$O$77,"not found")</f>
        <v>furniture_decor</v>
      </c>
      <c r="N12" s="51" t="s">
        <v>372</v>
      </c>
      <c r="O12" s="51" t="s">
        <v>373</v>
      </c>
    </row>
    <row r="13" spans="2:15" x14ac:dyDescent="0.3">
      <c r="N13" s="51" t="s">
        <v>374</v>
      </c>
      <c r="O13" s="51" t="s">
        <v>375</v>
      </c>
    </row>
    <row r="14" spans="2:15" ht="17" x14ac:dyDescent="0.4">
      <c r="B14" s="6" t="s">
        <v>376</v>
      </c>
      <c r="N14" s="51" t="s">
        <v>377</v>
      </c>
      <c r="O14" s="51" t="s">
        <v>378</v>
      </c>
    </row>
    <row r="15" spans="2:15" x14ac:dyDescent="0.3">
      <c r="B15" s="10" t="s">
        <v>379</v>
      </c>
      <c r="C15" s="10" t="s">
        <v>380</v>
      </c>
      <c r="D15" s="10" t="s">
        <v>381</v>
      </c>
      <c r="E15" s="10" t="s">
        <v>382</v>
      </c>
      <c r="N15" s="51" t="s">
        <v>383</v>
      </c>
      <c r="O15" s="51" t="s">
        <v>384</v>
      </c>
    </row>
    <row r="16" spans="2:15" ht="39" x14ac:dyDescent="0.3">
      <c r="B16" s="22" t="s">
        <v>385</v>
      </c>
      <c r="C16" s="52" t="s">
        <v>386</v>
      </c>
      <c r="D16" s="53" t="s">
        <v>387</v>
      </c>
      <c r="E16" s="53" t="s">
        <v>388</v>
      </c>
      <c r="N16" s="51" t="s">
        <v>389</v>
      </c>
      <c r="O16" s="51" t="s">
        <v>390</v>
      </c>
    </row>
    <row r="17" spans="2:15" ht="39" x14ac:dyDescent="0.3">
      <c r="B17" s="22" t="s">
        <v>391</v>
      </c>
      <c r="C17" s="52" t="s">
        <v>392</v>
      </c>
      <c r="D17" s="53" t="s">
        <v>393</v>
      </c>
      <c r="E17" s="53" t="s">
        <v>394</v>
      </c>
      <c r="N17" s="51" t="s">
        <v>395</v>
      </c>
      <c r="O17" s="51" t="s">
        <v>396</v>
      </c>
    </row>
    <row r="18" spans="2:15" ht="52" x14ac:dyDescent="0.3">
      <c r="B18" s="22" t="s">
        <v>397</v>
      </c>
      <c r="C18" s="52" t="s">
        <v>398</v>
      </c>
      <c r="D18" s="53" t="s">
        <v>399</v>
      </c>
      <c r="E18" s="53" t="s">
        <v>400</v>
      </c>
      <c r="N18" s="51" t="s">
        <v>401</v>
      </c>
      <c r="O18" s="51" t="s">
        <v>402</v>
      </c>
    </row>
    <row r="19" spans="2:15" x14ac:dyDescent="0.3">
      <c r="N19" s="51" t="s">
        <v>403</v>
      </c>
      <c r="O19" s="51" t="s">
        <v>404</v>
      </c>
    </row>
    <row r="20" spans="2:15" x14ac:dyDescent="0.3">
      <c r="N20" s="51" t="s">
        <v>405</v>
      </c>
      <c r="O20" s="51" t="s">
        <v>406</v>
      </c>
    </row>
    <row r="21" spans="2:15" x14ac:dyDescent="0.3">
      <c r="N21" s="51" t="s">
        <v>407</v>
      </c>
      <c r="O21" s="51" t="s">
        <v>408</v>
      </c>
    </row>
    <row r="22" spans="2:15" x14ac:dyDescent="0.3">
      <c r="N22" s="51" t="s">
        <v>409</v>
      </c>
      <c r="O22" s="51" t="s">
        <v>410</v>
      </c>
    </row>
    <row r="23" spans="2:15" x14ac:dyDescent="0.3">
      <c r="N23" s="51" t="s">
        <v>411</v>
      </c>
      <c r="O23" s="51" t="s">
        <v>412</v>
      </c>
    </row>
    <row r="24" spans="2:15" ht="17" x14ac:dyDescent="0.4">
      <c r="B24" s="6" t="s">
        <v>413</v>
      </c>
      <c r="J24" s="4" t="s">
        <v>414</v>
      </c>
      <c r="N24" s="51" t="s">
        <v>415</v>
      </c>
      <c r="O24" s="51" t="s">
        <v>416</v>
      </c>
    </row>
    <row r="25" spans="2:15" x14ac:dyDescent="0.3">
      <c r="B25" s="54" t="s">
        <v>417</v>
      </c>
      <c r="N25" s="51" t="s">
        <v>418</v>
      </c>
      <c r="O25" s="51" t="s">
        <v>419</v>
      </c>
    </row>
    <row r="26" spans="2:15" x14ac:dyDescent="0.3">
      <c r="N26" s="51" t="s">
        <v>420</v>
      </c>
      <c r="O26" s="51" t="s">
        <v>420</v>
      </c>
    </row>
    <row r="27" spans="2:15" x14ac:dyDescent="0.3">
      <c r="B27" s="62" t="s">
        <v>600</v>
      </c>
      <c r="C27" s="62" t="s">
        <v>599</v>
      </c>
      <c r="J27" s="10" t="s">
        <v>349</v>
      </c>
      <c r="K27" s="10" t="s">
        <v>266</v>
      </c>
      <c r="L27" s="10" t="s">
        <v>255</v>
      </c>
      <c r="N27" s="51" t="s">
        <v>421</v>
      </c>
      <c r="O27" s="51" t="s">
        <v>421</v>
      </c>
    </row>
    <row r="28" spans="2:15" x14ac:dyDescent="0.3">
      <c r="B28" s="62" t="s">
        <v>597</v>
      </c>
      <c r="C28" t="s">
        <v>268</v>
      </c>
      <c r="D28" t="s">
        <v>187</v>
      </c>
      <c r="E28" t="s">
        <v>270</v>
      </c>
      <c r="F28" t="s">
        <v>269</v>
      </c>
      <c r="G28" t="s">
        <v>598</v>
      </c>
      <c r="J28" s="34" t="s">
        <v>146</v>
      </c>
      <c r="K28" s="34" t="s">
        <v>187</v>
      </c>
      <c r="L28" s="23">
        <v>32074</v>
      </c>
      <c r="N28" s="51" t="s">
        <v>422</v>
      </c>
      <c r="O28" s="51" t="s">
        <v>423</v>
      </c>
    </row>
    <row r="29" spans="2:15" x14ac:dyDescent="0.3">
      <c r="B29" s="63" t="s">
        <v>540</v>
      </c>
      <c r="C29" s="64">
        <v>16</v>
      </c>
      <c r="D29" s="64">
        <v>61</v>
      </c>
      <c r="E29" s="64">
        <v>2</v>
      </c>
      <c r="F29" s="64">
        <v>4</v>
      </c>
      <c r="G29" s="64">
        <v>83</v>
      </c>
      <c r="J29" s="34" t="s">
        <v>146</v>
      </c>
      <c r="K29" s="34" t="s">
        <v>268</v>
      </c>
      <c r="L29" s="23">
        <v>8205</v>
      </c>
      <c r="N29" s="51" t="s">
        <v>424</v>
      </c>
      <c r="O29" s="51" t="s">
        <v>424</v>
      </c>
    </row>
    <row r="30" spans="2:15" x14ac:dyDescent="0.3">
      <c r="B30" s="63" t="s">
        <v>535</v>
      </c>
      <c r="C30" s="64">
        <v>68</v>
      </c>
      <c r="D30" s="64">
        <v>338</v>
      </c>
      <c r="E30" s="64">
        <v>5</v>
      </c>
      <c r="F30" s="64">
        <v>10</v>
      </c>
      <c r="G30" s="64">
        <v>421</v>
      </c>
      <c r="J30" s="34" t="s">
        <v>146</v>
      </c>
      <c r="K30" s="34" t="s">
        <v>269</v>
      </c>
      <c r="L30" s="23">
        <v>1596</v>
      </c>
      <c r="N30" s="51" t="s">
        <v>425</v>
      </c>
      <c r="O30" s="51" t="s">
        <v>426</v>
      </c>
    </row>
    <row r="31" spans="2:15" x14ac:dyDescent="0.3">
      <c r="B31" s="63" t="s">
        <v>539</v>
      </c>
      <c r="C31" s="64">
        <v>21</v>
      </c>
      <c r="D31" s="64">
        <v>124</v>
      </c>
      <c r="E31" s="64">
        <v>2</v>
      </c>
      <c r="F31" s="64">
        <v>4</v>
      </c>
      <c r="G31" s="64">
        <v>151</v>
      </c>
      <c r="J31" s="34" t="s">
        <v>146</v>
      </c>
      <c r="K31" s="34" t="s">
        <v>270</v>
      </c>
      <c r="L31" s="23">
        <v>759</v>
      </c>
      <c r="N31" s="51" t="s">
        <v>427</v>
      </c>
      <c r="O31" s="51" t="s">
        <v>428</v>
      </c>
    </row>
    <row r="32" spans="2:15" x14ac:dyDescent="0.3">
      <c r="B32" s="63" t="s">
        <v>541</v>
      </c>
      <c r="C32" s="64">
        <v>20</v>
      </c>
      <c r="D32" s="64">
        <v>47</v>
      </c>
      <c r="E32" s="64"/>
      <c r="F32" s="64">
        <v>3</v>
      </c>
      <c r="G32" s="64">
        <v>70</v>
      </c>
      <c r="J32" s="34" t="s">
        <v>429</v>
      </c>
      <c r="K32" s="34" t="s">
        <v>187</v>
      </c>
      <c r="L32" s="23">
        <v>10253</v>
      </c>
      <c r="N32" s="51" t="s">
        <v>430</v>
      </c>
      <c r="O32" s="51" t="s">
        <v>431</v>
      </c>
    </row>
    <row r="33" spans="2:15" x14ac:dyDescent="0.3">
      <c r="B33" s="63" t="s">
        <v>472</v>
      </c>
      <c r="C33" s="64">
        <v>614</v>
      </c>
      <c r="D33" s="64">
        <v>2643</v>
      </c>
      <c r="E33" s="64">
        <v>53</v>
      </c>
      <c r="F33" s="64">
        <v>176</v>
      </c>
      <c r="G33" s="64">
        <v>3486</v>
      </c>
      <c r="J33" s="34" t="s">
        <v>429</v>
      </c>
      <c r="K33" s="34" t="s">
        <v>268</v>
      </c>
      <c r="L33" s="23">
        <v>2163</v>
      </c>
      <c r="N33" s="51" t="s">
        <v>432</v>
      </c>
      <c r="O33" s="51" t="s">
        <v>433</v>
      </c>
    </row>
    <row r="34" spans="2:15" x14ac:dyDescent="0.3">
      <c r="B34" s="63" t="s">
        <v>516</v>
      </c>
      <c r="C34" s="64">
        <v>205</v>
      </c>
      <c r="D34" s="64">
        <v>1083</v>
      </c>
      <c r="E34" s="64">
        <v>20</v>
      </c>
      <c r="F34" s="64">
        <v>59</v>
      </c>
      <c r="G34" s="64">
        <v>1367</v>
      </c>
      <c r="J34" s="34" t="s">
        <v>429</v>
      </c>
      <c r="K34" s="34" t="s">
        <v>269</v>
      </c>
      <c r="L34" s="23">
        <v>547</v>
      </c>
      <c r="N34" s="51" t="s">
        <v>434</v>
      </c>
      <c r="O34" s="51" t="s">
        <v>435</v>
      </c>
    </row>
    <row r="35" spans="2:15" x14ac:dyDescent="0.3">
      <c r="B35" s="63" t="s">
        <v>481</v>
      </c>
      <c r="C35" s="64">
        <v>396</v>
      </c>
      <c r="D35" s="64">
        <v>1695</v>
      </c>
      <c r="E35" s="64">
        <v>17</v>
      </c>
      <c r="F35" s="64">
        <v>79</v>
      </c>
      <c r="G35" s="64">
        <v>2187</v>
      </c>
      <c r="J35" s="34" t="s">
        <v>429</v>
      </c>
      <c r="K35" s="34" t="s">
        <v>270</v>
      </c>
      <c r="L35" s="23">
        <v>185</v>
      </c>
      <c r="N35" s="51" t="s">
        <v>436</v>
      </c>
      <c r="O35" s="51" t="s">
        <v>437</v>
      </c>
    </row>
    <row r="36" spans="2:15" x14ac:dyDescent="0.3">
      <c r="B36" s="63" t="s">
        <v>490</v>
      </c>
      <c r="C36" s="64">
        <v>403</v>
      </c>
      <c r="D36" s="64">
        <v>1568</v>
      </c>
      <c r="E36" s="64">
        <v>27</v>
      </c>
      <c r="F36" s="64">
        <v>82</v>
      </c>
      <c r="G36" s="64">
        <v>2080</v>
      </c>
      <c r="J36" s="34" t="s">
        <v>438</v>
      </c>
      <c r="K36" s="34" t="s">
        <v>187</v>
      </c>
      <c r="L36" s="23">
        <v>9030</v>
      </c>
      <c r="N36" s="51" t="s">
        <v>439</v>
      </c>
      <c r="O36" s="51" t="s">
        <v>439</v>
      </c>
    </row>
    <row r="37" spans="2:15" x14ac:dyDescent="0.3">
      <c r="B37" s="63" t="s">
        <v>499</v>
      </c>
      <c r="C37" s="64">
        <v>449</v>
      </c>
      <c r="D37" s="64">
        <v>1514</v>
      </c>
      <c r="E37" s="64">
        <v>22</v>
      </c>
      <c r="F37" s="64">
        <v>76</v>
      </c>
      <c r="G37" s="64">
        <v>2061</v>
      </c>
      <c r="J37" s="34" t="s">
        <v>438</v>
      </c>
      <c r="K37" s="34" t="s">
        <v>268</v>
      </c>
      <c r="L37" s="23">
        <v>2304</v>
      </c>
      <c r="N37" s="51" t="s">
        <v>440</v>
      </c>
      <c r="O37" s="51" t="s">
        <v>441</v>
      </c>
    </row>
    <row r="38" spans="2:15" x14ac:dyDescent="0.3">
      <c r="B38" s="63" t="s">
        <v>530</v>
      </c>
      <c r="C38" s="64">
        <v>203</v>
      </c>
      <c r="D38" s="64">
        <v>534</v>
      </c>
      <c r="E38" s="64">
        <v>4</v>
      </c>
      <c r="F38" s="64">
        <v>19</v>
      </c>
      <c r="G38" s="64">
        <v>760</v>
      </c>
      <c r="J38" s="34" t="s">
        <v>438</v>
      </c>
      <c r="K38" s="34" t="s">
        <v>269</v>
      </c>
      <c r="L38" s="23">
        <v>438</v>
      </c>
      <c r="N38" s="51" t="s">
        <v>442</v>
      </c>
      <c r="O38" s="51" t="s">
        <v>442</v>
      </c>
    </row>
    <row r="39" spans="2:15" x14ac:dyDescent="0.3">
      <c r="B39" s="63" t="s">
        <v>438</v>
      </c>
      <c r="C39" s="64">
        <v>2304</v>
      </c>
      <c r="D39" s="64">
        <v>9030</v>
      </c>
      <c r="E39" s="64">
        <v>139</v>
      </c>
      <c r="F39" s="64">
        <v>438</v>
      </c>
      <c r="G39" s="64">
        <v>11911</v>
      </c>
      <c r="J39" s="34" t="s">
        <v>438</v>
      </c>
      <c r="K39" s="34" t="s">
        <v>270</v>
      </c>
      <c r="L39" s="23">
        <v>139</v>
      </c>
      <c r="N39" s="51" t="s">
        <v>443</v>
      </c>
      <c r="O39" s="51" t="s">
        <v>444</v>
      </c>
    </row>
    <row r="40" spans="2:15" x14ac:dyDescent="0.3">
      <c r="B40" s="63" t="s">
        <v>531</v>
      </c>
      <c r="C40" s="64">
        <v>175</v>
      </c>
      <c r="D40" s="64">
        <v>516</v>
      </c>
      <c r="E40" s="64">
        <v>11</v>
      </c>
      <c r="F40" s="64">
        <v>24</v>
      </c>
      <c r="G40" s="64">
        <v>726</v>
      </c>
      <c r="J40" s="34" t="s">
        <v>445</v>
      </c>
      <c r="K40" s="34" t="s">
        <v>187</v>
      </c>
      <c r="L40" s="23">
        <v>3967</v>
      </c>
      <c r="N40" s="51" t="s">
        <v>446</v>
      </c>
      <c r="O40" s="51" t="s">
        <v>447</v>
      </c>
    </row>
    <row r="41" spans="2:15" x14ac:dyDescent="0.3">
      <c r="B41" s="63" t="s">
        <v>529</v>
      </c>
      <c r="C41" s="64">
        <v>238</v>
      </c>
      <c r="D41" s="64">
        <v>657</v>
      </c>
      <c r="E41" s="64">
        <v>6</v>
      </c>
      <c r="F41" s="64">
        <v>25</v>
      </c>
      <c r="G41" s="64">
        <v>926</v>
      </c>
      <c r="J41" s="34" t="s">
        <v>445</v>
      </c>
      <c r="K41" s="34" t="s">
        <v>268</v>
      </c>
      <c r="L41" s="23">
        <v>1359</v>
      </c>
      <c r="N41" s="51" t="s">
        <v>448</v>
      </c>
      <c r="O41" s="51" t="s">
        <v>449</v>
      </c>
    </row>
    <row r="42" spans="2:15" x14ac:dyDescent="0.3">
      <c r="B42" s="63" t="s">
        <v>524</v>
      </c>
      <c r="C42" s="64">
        <v>215</v>
      </c>
      <c r="D42" s="64">
        <v>724</v>
      </c>
      <c r="E42" s="64">
        <v>16</v>
      </c>
      <c r="F42" s="64">
        <v>41</v>
      </c>
      <c r="G42" s="64">
        <v>996</v>
      </c>
      <c r="J42" s="34" t="s">
        <v>445</v>
      </c>
      <c r="K42" s="34" t="s">
        <v>269</v>
      </c>
      <c r="L42" s="23">
        <v>179</v>
      </c>
      <c r="N42" s="51" t="s">
        <v>450</v>
      </c>
      <c r="O42" s="51" t="s">
        <v>451</v>
      </c>
    </row>
    <row r="43" spans="2:15" x14ac:dyDescent="0.3">
      <c r="B43" s="63" t="s">
        <v>532</v>
      </c>
      <c r="C43" s="64">
        <v>93</v>
      </c>
      <c r="D43" s="64">
        <v>421</v>
      </c>
      <c r="E43" s="64">
        <v>13</v>
      </c>
      <c r="F43" s="64">
        <v>23</v>
      </c>
      <c r="G43" s="64">
        <v>550</v>
      </c>
      <c r="J43" s="34" t="s">
        <v>445</v>
      </c>
      <c r="K43" s="34" t="s">
        <v>270</v>
      </c>
      <c r="L43" s="23">
        <v>76</v>
      </c>
      <c r="N43" s="51" t="s">
        <v>452</v>
      </c>
      <c r="O43" s="51" t="s">
        <v>453</v>
      </c>
    </row>
    <row r="44" spans="2:15" x14ac:dyDescent="0.3">
      <c r="B44" s="63" t="s">
        <v>507</v>
      </c>
      <c r="C44" s="64">
        <v>277</v>
      </c>
      <c r="D44" s="64">
        <v>1326</v>
      </c>
      <c r="E44" s="64">
        <v>19</v>
      </c>
      <c r="F44" s="64">
        <v>73</v>
      </c>
      <c r="G44" s="64">
        <v>1695</v>
      </c>
      <c r="J44" s="34" t="s">
        <v>454</v>
      </c>
      <c r="K44" s="34" t="s">
        <v>187</v>
      </c>
      <c r="L44" s="23">
        <v>3776</v>
      </c>
      <c r="N44" s="51" t="s">
        <v>455</v>
      </c>
      <c r="O44" s="51" t="s">
        <v>456</v>
      </c>
    </row>
    <row r="45" spans="2:15" x14ac:dyDescent="0.3">
      <c r="B45" s="63" t="s">
        <v>533</v>
      </c>
      <c r="C45" s="64">
        <v>94</v>
      </c>
      <c r="D45" s="64">
        <v>383</v>
      </c>
      <c r="E45" s="64">
        <v>11</v>
      </c>
      <c r="F45" s="64">
        <v>27</v>
      </c>
      <c r="G45" s="64">
        <v>515</v>
      </c>
      <c r="J45" s="34" t="s">
        <v>454</v>
      </c>
      <c r="K45" s="34" t="s">
        <v>268</v>
      </c>
      <c r="L45" s="23">
        <v>1118</v>
      </c>
      <c r="N45" s="51" t="s">
        <v>457</v>
      </c>
      <c r="O45" s="51" t="s">
        <v>458</v>
      </c>
    </row>
    <row r="46" spans="2:15" x14ac:dyDescent="0.3">
      <c r="B46" s="63" t="s">
        <v>454</v>
      </c>
      <c r="C46" s="64">
        <v>1118</v>
      </c>
      <c r="D46" s="64">
        <v>3776</v>
      </c>
      <c r="E46" s="64">
        <v>74</v>
      </c>
      <c r="F46" s="64">
        <v>199</v>
      </c>
      <c r="G46" s="64">
        <v>5167</v>
      </c>
      <c r="J46" s="34" t="s">
        <v>454</v>
      </c>
      <c r="K46" s="34" t="s">
        <v>269</v>
      </c>
      <c r="L46" s="23">
        <v>199</v>
      </c>
      <c r="N46" s="51" t="s">
        <v>459</v>
      </c>
      <c r="O46" s="51" t="s">
        <v>460</v>
      </c>
    </row>
    <row r="47" spans="2:15" x14ac:dyDescent="0.3">
      <c r="B47" s="63" t="s">
        <v>429</v>
      </c>
      <c r="C47" s="64">
        <v>2163</v>
      </c>
      <c r="D47" s="64">
        <v>10253</v>
      </c>
      <c r="E47" s="64">
        <v>185</v>
      </c>
      <c r="F47" s="64">
        <v>547</v>
      </c>
      <c r="G47" s="64">
        <v>13148</v>
      </c>
      <c r="J47" s="34" t="s">
        <v>454</v>
      </c>
      <c r="K47" s="34" t="s">
        <v>270</v>
      </c>
      <c r="L47" s="23">
        <v>74</v>
      </c>
      <c r="N47" s="51" t="s">
        <v>461</v>
      </c>
      <c r="O47" s="51" t="s">
        <v>462</v>
      </c>
    </row>
    <row r="48" spans="2:15" x14ac:dyDescent="0.3">
      <c r="B48" s="63" t="s">
        <v>534</v>
      </c>
      <c r="C48" s="64">
        <v>80</v>
      </c>
      <c r="D48" s="64">
        <v>390</v>
      </c>
      <c r="E48" s="64">
        <v>9</v>
      </c>
      <c r="F48" s="64">
        <v>21</v>
      </c>
      <c r="G48" s="64">
        <v>500</v>
      </c>
      <c r="J48" s="34" t="s">
        <v>463</v>
      </c>
      <c r="K48" s="34" t="s">
        <v>187</v>
      </c>
      <c r="L48" s="23">
        <v>2705</v>
      </c>
      <c r="N48" s="51" t="s">
        <v>464</v>
      </c>
      <c r="O48" s="51" t="s">
        <v>465</v>
      </c>
    </row>
    <row r="49" spans="2:15" x14ac:dyDescent="0.3">
      <c r="B49" s="63" t="s">
        <v>538</v>
      </c>
      <c r="C49" s="64">
        <v>64</v>
      </c>
      <c r="D49" s="64">
        <v>184</v>
      </c>
      <c r="E49" s="64">
        <v>3</v>
      </c>
      <c r="F49" s="64">
        <v>7</v>
      </c>
      <c r="G49" s="64">
        <v>258</v>
      </c>
      <c r="J49" s="34" t="s">
        <v>463</v>
      </c>
      <c r="K49" s="34" t="s">
        <v>268</v>
      </c>
      <c r="L49" s="23">
        <v>840</v>
      </c>
      <c r="N49" s="51" t="s">
        <v>466</v>
      </c>
      <c r="O49" s="51" t="s">
        <v>467</v>
      </c>
    </row>
    <row r="50" spans="2:15" x14ac:dyDescent="0.3">
      <c r="B50" s="63" t="s">
        <v>542</v>
      </c>
      <c r="C50" s="64">
        <v>13</v>
      </c>
      <c r="D50" s="64">
        <v>33</v>
      </c>
      <c r="E50" s="64"/>
      <c r="F50" s="64"/>
      <c r="G50" s="64">
        <v>46</v>
      </c>
      <c r="J50" s="34" t="s">
        <v>463</v>
      </c>
      <c r="K50" s="34" t="s">
        <v>269</v>
      </c>
      <c r="L50" s="23">
        <v>127</v>
      </c>
      <c r="N50" s="51" t="s">
        <v>468</v>
      </c>
      <c r="O50" s="51" t="s">
        <v>469</v>
      </c>
    </row>
    <row r="51" spans="2:15" x14ac:dyDescent="0.3">
      <c r="B51" s="63" t="s">
        <v>445</v>
      </c>
      <c r="C51" s="64">
        <v>1359</v>
      </c>
      <c r="D51" s="64">
        <v>3967</v>
      </c>
      <c r="E51" s="64">
        <v>76</v>
      </c>
      <c r="F51" s="64">
        <v>179</v>
      </c>
      <c r="G51" s="64">
        <v>5581</v>
      </c>
      <c r="J51" s="34" t="s">
        <v>463</v>
      </c>
      <c r="K51" s="34" t="s">
        <v>270</v>
      </c>
      <c r="L51" s="23">
        <v>46</v>
      </c>
      <c r="N51" s="51" t="s">
        <v>470</v>
      </c>
      <c r="O51" s="51" t="s">
        <v>471</v>
      </c>
    </row>
    <row r="52" spans="2:15" x14ac:dyDescent="0.3">
      <c r="B52" s="63" t="s">
        <v>463</v>
      </c>
      <c r="C52" s="64">
        <v>840</v>
      </c>
      <c r="D52" s="64">
        <v>2705</v>
      </c>
      <c r="E52" s="64">
        <v>46</v>
      </c>
      <c r="F52" s="64">
        <v>127</v>
      </c>
      <c r="G52" s="64">
        <v>3718</v>
      </c>
      <c r="J52" s="34" t="s">
        <v>472</v>
      </c>
      <c r="K52" s="34" t="s">
        <v>187</v>
      </c>
      <c r="L52" s="23">
        <v>2643</v>
      </c>
      <c r="N52" s="51" t="s">
        <v>473</v>
      </c>
      <c r="O52" s="51" t="s">
        <v>474</v>
      </c>
    </row>
    <row r="53" spans="2:15" x14ac:dyDescent="0.3">
      <c r="B53" s="63" t="s">
        <v>536</v>
      </c>
      <c r="C53" s="64">
        <v>75</v>
      </c>
      <c r="D53" s="64">
        <v>263</v>
      </c>
      <c r="E53" s="64">
        <v>5</v>
      </c>
      <c r="F53" s="64">
        <v>15</v>
      </c>
      <c r="G53" s="64">
        <v>358</v>
      </c>
      <c r="J53" s="34" t="s">
        <v>472</v>
      </c>
      <c r="K53" s="34" t="s">
        <v>268</v>
      </c>
      <c r="L53" s="23">
        <v>614</v>
      </c>
      <c r="N53" s="51" t="s">
        <v>475</v>
      </c>
      <c r="O53" s="51" t="s">
        <v>476</v>
      </c>
    </row>
    <row r="54" spans="2:15" x14ac:dyDescent="0.3">
      <c r="B54" s="63" t="s">
        <v>146</v>
      </c>
      <c r="C54" s="64">
        <v>8205</v>
      </c>
      <c r="D54" s="64">
        <v>32074</v>
      </c>
      <c r="E54" s="64">
        <v>759</v>
      </c>
      <c r="F54" s="64">
        <v>1596</v>
      </c>
      <c r="G54" s="64">
        <v>42634</v>
      </c>
      <c r="J54" s="34" t="s">
        <v>472</v>
      </c>
      <c r="K54" s="34" t="s">
        <v>269</v>
      </c>
      <c r="L54" s="23">
        <v>176</v>
      </c>
      <c r="N54" s="51" t="s">
        <v>477</v>
      </c>
      <c r="O54" s="51" t="s">
        <v>478</v>
      </c>
    </row>
    <row r="55" spans="2:15" x14ac:dyDescent="0.3">
      <c r="B55" s="63" t="s">
        <v>537</v>
      </c>
      <c r="C55" s="64">
        <v>76</v>
      </c>
      <c r="D55" s="64">
        <v>196</v>
      </c>
      <c r="E55" s="64">
        <v>4</v>
      </c>
      <c r="F55" s="64">
        <v>12</v>
      </c>
      <c r="G55" s="64">
        <v>288</v>
      </c>
      <c r="J55" s="34" t="s">
        <v>472</v>
      </c>
      <c r="K55" s="34" t="s">
        <v>270</v>
      </c>
      <c r="L55" s="23">
        <v>53</v>
      </c>
      <c r="N55" s="51" t="s">
        <v>479</v>
      </c>
      <c r="O55" s="51" t="s">
        <v>480</v>
      </c>
    </row>
    <row r="56" spans="2:15" x14ac:dyDescent="0.3">
      <c r="B56" s="63" t="s">
        <v>598</v>
      </c>
      <c r="C56" s="64">
        <v>19784</v>
      </c>
      <c r="D56" s="64">
        <v>76505</v>
      </c>
      <c r="E56" s="64">
        <v>1528</v>
      </c>
      <c r="F56" s="64">
        <v>3866</v>
      </c>
      <c r="G56" s="64">
        <v>101683</v>
      </c>
      <c r="J56" s="34" t="s">
        <v>481</v>
      </c>
      <c r="K56" s="34" t="s">
        <v>187</v>
      </c>
      <c r="L56" s="23">
        <v>1695</v>
      </c>
      <c r="N56" s="51" t="s">
        <v>482</v>
      </c>
      <c r="O56" s="51" t="s">
        <v>483</v>
      </c>
    </row>
    <row r="57" spans="2:15" x14ac:dyDescent="0.3">
      <c r="J57" s="34" t="s">
        <v>481</v>
      </c>
      <c r="K57" s="34" t="s">
        <v>268</v>
      </c>
      <c r="L57" s="23">
        <v>396</v>
      </c>
      <c r="N57" s="51" t="s">
        <v>484</v>
      </c>
      <c r="O57" s="51" t="s">
        <v>485</v>
      </c>
    </row>
    <row r="58" spans="2:15" x14ac:dyDescent="0.3">
      <c r="J58" s="34" t="s">
        <v>481</v>
      </c>
      <c r="K58" s="34" t="s">
        <v>269</v>
      </c>
      <c r="L58" s="23">
        <v>79</v>
      </c>
      <c r="N58" s="51" t="s">
        <v>486</v>
      </c>
      <c r="O58" s="51" t="s">
        <v>487</v>
      </c>
    </row>
    <row r="59" spans="2:15" x14ac:dyDescent="0.3">
      <c r="J59" s="34" t="s">
        <v>481</v>
      </c>
      <c r="K59" s="34" t="s">
        <v>270</v>
      </c>
      <c r="L59" s="23">
        <v>17</v>
      </c>
      <c r="N59" s="51" t="s">
        <v>488</v>
      </c>
      <c r="O59" s="51" t="s">
        <v>489</v>
      </c>
    </row>
    <row r="60" spans="2:15" x14ac:dyDescent="0.3">
      <c r="J60" s="34" t="s">
        <v>490</v>
      </c>
      <c r="K60" s="34" t="s">
        <v>187</v>
      </c>
      <c r="L60" s="23">
        <v>1568</v>
      </c>
      <c r="N60" s="51" t="s">
        <v>491</v>
      </c>
      <c r="O60" s="51" t="s">
        <v>492</v>
      </c>
    </row>
    <row r="61" spans="2:15" x14ac:dyDescent="0.3">
      <c r="J61" s="34" t="s">
        <v>490</v>
      </c>
      <c r="K61" s="34" t="s">
        <v>268</v>
      </c>
      <c r="L61" s="23">
        <v>403</v>
      </c>
      <c r="N61" s="51" t="s">
        <v>493</v>
      </c>
      <c r="O61" s="51" t="s">
        <v>494</v>
      </c>
    </row>
    <row r="62" spans="2:15" x14ac:dyDescent="0.3">
      <c r="J62" s="34" t="s">
        <v>490</v>
      </c>
      <c r="K62" s="34" t="s">
        <v>269</v>
      </c>
      <c r="L62" s="23">
        <v>82</v>
      </c>
      <c r="N62" s="51" t="s">
        <v>495</v>
      </c>
      <c r="O62" s="51" t="s">
        <v>496</v>
      </c>
    </row>
    <row r="63" spans="2:15" x14ac:dyDescent="0.3">
      <c r="J63" s="34" t="s">
        <v>490</v>
      </c>
      <c r="K63" s="34" t="s">
        <v>270</v>
      </c>
      <c r="L63" s="23">
        <v>27</v>
      </c>
      <c r="N63" s="51" t="s">
        <v>497</v>
      </c>
      <c r="O63" s="51" t="s">
        <v>498</v>
      </c>
    </row>
    <row r="64" spans="2:15" x14ac:dyDescent="0.3">
      <c r="J64" s="34" t="s">
        <v>499</v>
      </c>
      <c r="K64" s="34" t="s">
        <v>187</v>
      </c>
      <c r="L64" s="23">
        <v>1514</v>
      </c>
      <c r="N64" s="51" t="s">
        <v>500</v>
      </c>
      <c r="O64" s="51" t="s">
        <v>501</v>
      </c>
    </row>
    <row r="65" spans="10:15" x14ac:dyDescent="0.3">
      <c r="J65" s="34" t="s">
        <v>499</v>
      </c>
      <c r="K65" s="34" t="s">
        <v>268</v>
      </c>
      <c r="L65" s="23">
        <v>449</v>
      </c>
      <c r="N65" s="51" t="s">
        <v>502</v>
      </c>
      <c r="O65" s="51" t="s">
        <v>503</v>
      </c>
    </row>
    <row r="66" spans="10:15" x14ac:dyDescent="0.3">
      <c r="J66" s="34" t="s">
        <v>499</v>
      </c>
      <c r="K66" s="34" t="s">
        <v>269</v>
      </c>
      <c r="L66" s="23">
        <v>76</v>
      </c>
      <c r="N66" s="51" t="s">
        <v>504</v>
      </c>
      <c r="O66" s="51" t="s">
        <v>505</v>
      </c>
    </row>
    <row r="67" spans="10:15" x14ac:dyDescent="0.3">
      <c r="J67" s="34" t="s">
        <v>499</v>
      </c>
      <c r="K67" s="34" t="s">
        <v>270</v>
      </c>
      <c r="L67" s="23">
        <v>22</v>
      </c>
      <c r="N67" s="51" t="s">
        <v>506</v>
      </c>
      <c r="O67" s="51" t="s">
        <v>506</v>
      </c>
    </row>
    <row r="68" spans="10:15" x14ac:dyDescent="0.3">
      <c r="J68" s="34" t="s">
        <v>507</v>
      </c>
      <c r="K68" s="34" t="s">
        <v>187</v>
      </c>
      <c r="L68" s="23">
        <v>1326</v>
      </c>
      <c r="N68" s="51" t="s">
        <v>508</v>
      </c>
      <c r="O68" s="51" t="s">
        <v>509</v>
      </c>
    </row>
    <row r="69" spans="10:15" x14ac:dyDescent="0.3">
      <c r="J69" s="34" t="s">
        <v>507</v>
      </c>
      <c r="K69" s="34" t="s">
        <v>268</v>
      </c>
      <c r="L69" s="23">
        <v>277</v>
      </c>
      <c r="N69" s="51" t="s">
        <v>510</v>
      </c>
      <c r="O69" s="51" t="s">
        <v>511</v>
      </c>
    </row>
    <row r="70" spans="10:15" x14ac:dyDescent="0.3">
      <c r="J70" s="34" t="s">
        <v>507</v>
      </c>
      <c r="K70" s="34" t="s">
        <v>269</v>
      </c>
      <c r="L70" s="23">
        <v>73</v>
      </c>
      <c r="N70" s="51" t="s">
        <v>512</v>
      </c>
      <c r="O70" s="51" t="s">
        <v>513</v>
      </c>
    </row>
    <row r="71" spans="10:15" x14ac:dyDescent="0.3">
      <c r="J71" s="34" t="s">
        <v>507</v>
      </c>
      <c r="K71" s="34" t="s">
        <v>270</v>
      </c>
      <c r="L71" s="23">
        <v>19</v>
      </c>
      <c r="N71" s="51" t="s">
        <v>514</v>
      </c>
      <c r="O71" s="51" t="s">
        <v>515</v>
      </c>
    </row>
    <row r="72" spans="10:15" x14ac:dyDescent="0.3">
      <c r="J72" s="34" t="s">
        <v>516</v>
      </c>
      <c r="K72" s="34" t="s">
        <v>187</v>
      </c>
      <c r="L72" s="23">
        <v>1083</v>
      </c>
      <c r="N72" s="51" t="s">
        <v>517</v>
      </c>
      <c r="O72" s="51" t="s">
        <v>517</v>
      </c>
    </row>
    <row r="73" spans="10:15" x14ac:dyDescent="0.3">
      <c r="J73" s="34" t="s">
        <v>516</v>
      </c>
      <c r="K73" s="34" t="s">
        <v>268</v>
      </c>
      <c r="L73" s="23">
        <v>205</v>
      </c>
      <c r="N73" s="51" t="s">
        <v>518</v>
      </c>
      <c r="O73" s="51" t="s">
        <v>519</v>
      </c>
    </row>
    <row r="74" spans="10:15" x14ac:dyDescent="0.3">
      <c r="J74" s="34" t="s">
        <v>516</v>
      </c>
      <c r="K74" s="34" t="s">
        <v>269</v>
      </c>
      <c r="L74" s="23">
        <v>59</v>
      </c>
      <c r="N74" s="51" t="s">
        <v>520</v>
      </c>
      <c r="O74" s="51" t="s">
        <v>521</v>
      </c>
    </row>
    <row r="75" spans="10:15" x14ac:dyDescent="0.3">
      <c r="J75" s="34" t="s">
        <v>516</v>
      </c>
      <c r="K75" s="34" t="s">
        <v>270</v>
      </c>
      <c r="L75" s="23">
        <v>20</v>
      </c>
      <c r="N75" s="51" t="s">
        <v>522</v>
      </c>
      <c r="O75" s="51" t="s">
        <v>523</v>
      </c>
    </row>
    <row r="76" spans="10:15" x14ac:dyDescent="0.3">
      <c r="J76" s="34" t="s">
        <v>524</v>
      </c>
      <c r="K76" s="34" t="s">
        <v>187</v>
      </c>
      <c r="L76" s="23">
        <v>724</v>
      </c>
      <c r="N76" s="51" t="s">
        <v>525</v>
      </c>
      <c r="O76" s="51" t="s">
        <v>526</v>
      </c>
    </row>
    <row r="77" spans="10:15" x14ac:dyDescent="0.3">
      <c r="J77" s="34" t="s">
        <v>524</v>
      </c>
      <c r="K77" s="34" t="s">
        <v>268</v>
      </c>
      <c r="L77" s="23">
        <v>215</v>
      </c>
      <c r="N77" s="51" t="s">
        <v>527</v>
      </c>
      <c r="O77" s="51" t="s">
        <v>528</v>
      </c>
    </row>
    <row r="78" spans="10:15" x14ac:dyDescent="0.3">
      <c r="J78" s="34" t="s">
        <v>524</v>
      </c>
      <c r="K78" s="34" t="s">
        <v>269</v>
      </c>
      <c r="L78" s="23">
        <v>41</v>
      </c>
    </row>
    <row r="79" spans="10:15" x14ac:dyDescent="0.3">
      <c r="J79" s="34" t="s">
        <v>524</v>
      </c>
      <c r="K79" s="34" t="s">
        <v>270</v>
      </c>
      <c r="L79" s="23">
        <v>16</v>
      </c>
    </row>
    <row r="80" spans="10:15" x14ac:dyDescent="0.3">
      <c r="J80" s="34" t="s">
        <v>529</v>
      </c>
      <c r="K80" s="34" t="s">
        <v>187</v>
      </c>
      <c r="L80" s="23">
        <v>657</v>
      </c>
    </row>
    <row r="81" spans="10:12" x14ac:dyDescent="0.3">
      <c r="J81" s="34" t="s">
        <v>529</v>
      </c>
      <c r="K81" s="34" t="s">
        <v>268</v>
      </c>
      <c r="L81" s="23">
        <v>238</v>
      </c>
    </row>
    <row r="82" spans="10:12" x14ac:dyDescent="0.3">
      <c r="J82" s="34" t="s">
        <v>529</v>
      </c>
      <c r="K82" s="34" t="s">
        <v>269</v>
      </c>
      <c r="L82" s="23">
        <v>25</v>
      </c>
    </row>
    <row r="83" spans="10:12" x14ac:dyDescent="0.3">
      <c r="J83" s="34" t="s">
        <v>529</v>
      </c>
      <c r="K83" s="34" t="s">
        <v>270</v>
      </c>
      <c r="L83" s="23">
        <v>6</v>
      </c>
    </row>
    <row r="84" spans="10:12" x14ac:dyDescent="0.3">
      <c r="J84" s="34" t="s">
        <v>530</v>
      </c>
      <c r="K84" s="34" t="s">
        <v>187</v>
      </c>
      <c r="L84" s="23">
        <v>534</v>
      </c>
    </row>
    <row r="85" spans="10:12" x14ac:dyDescent="0.3">
      <c r="J85" s="34" t="s">
        <v>530</v>
      </c>
      <c r="K85" s="34" t="s">
        <v>268</v>
      </c>
      <c r="L85" s="23">
        <v>203</v>
      </c>
    </row>
    <row r="86" spans="10:12" x14ac:dyDescent="0.3">
      <c r="J86" s="34" t="s">
        <v>530</v>
      </c>
      <c r="K86" s="34" t="s">
        <v>269</v>
      </c>
      <c r="L86" s="23">
        <v>19</v>
      </c>
    </row>
    <row r="87" spans="10:12" x14ac:dyDescent="0.3">
      <c r="J87" s="34" t="s">
        <v>530</v>
      </c>
      <c r="K87" s="34" t="s">
        <v>270</v>
      </c>
      <c r="L87" s="23">
        <v>4</v>
      </c>
    </row>
    <row r="88" spans="10:12" x14ac:dyDescent="0.3">
      <c r="J88" s="34" t="s">
        <v>531</v>
      </c>
      <c r="K88" s="34" t="s">
        <v>187</v>
      </c>
      <c r="L88" s="23">
        <v>516</v>
      </c>
    </row>
    <row r="89" spans="10:12" x14ac:dyDescent="0.3">
      <c r="J89" s="34" t="s">
        <v>531</v>
      </c>
      <c r="K89" s="34" t="s">
        <v>268</v>
      </c>
      <c r="L89" s="23">
        <v>175</v>
      </c>
    </row>
    <row r="90" spans="10:12" x14ac:dyDescent="0.3">
      <c r="J90" s="34" t="s">
        <v>531</v>
      </c>
      <c r="K90" s="34" t="s">
        <v>269</v>
      </c>
      <c r="L90" s="23">
        <v>24</v>
      </c>
    </row>
    <row r="91" spans="10:12" x14ac:dyDescent="0.3">
      <c r="J91" s="34" t="s">
        <v>531</v>
      </c>
      <c r="K91" s="34" t="s">
        <v>270</v>
      </c>
      <c r="L91" s="23">
        <v>11</v>
      </c>
    </row>
    <row r="92" spans="10:12" x14ac:dyDescent="0.3">
      <c r="J92" s="34" t="s">
        <v>532</v>
      </c>
      <c r="K92" s="34" t="s">
        <v>187</v>
      </c>
      <c r="L92" s="23">
        <v>421</v>
      </c>
    </row>
    <row r="93" spans="10:12" x14ac:dyDescent="0.3">
      <c r="J93" s="34" t="s">
        <v>532</v>
      </c>
      <c r="K93" s="34" t="s">
        <v>268</v>
      </c>
      <c r="L93" s="23">
        <v>93</v>
      </c>
    </row>
    <row r="94" spans="10:12" x14ac:dyDescent="0.3">
      <c r="J94" s="34" t="s">
        <v>532</v>
      </c>
      <c r="K94" s="34" t="s">
        <v>269</v>
      </c>
      <c r="L94" s="23">
        <v>23</v>
      </c>
    </row>
    <row r="95" spans="10:12" x14ac:dyDescent="0.3">
      <c r="J95" s="34" t="s">
        <v>532</v>
      </c>
      <c r="K95" s="34" t="s">
        <v>270</v>
      </c>
      <c r="L95" s="23">
        <v>13</v>
      </c>
    </row>
    <row r="96" spans="10:12" x14ac:dyDescent="0.3">
      <c r="J96" s="34" t="s">
        <v>533</v>
      </c>
      <c r="K96" s="34" t="s">
        <v>187</v>
      </c>
      <c r="L96" s="23">
        <v>383</v>
      </c>
    </row>
    <row r="97" spans="10:12" x14ac:dyDescent="0.3">
      <c r="J97" s="34" t="s">
        <v>533</v>
      </c>
      <c r="K97" s="34" t="s">
        <v>268</v>
      </c>
      <c r="L97" s="23">
        <v>94</v>
      </c>
    </row>
    <row r="98" spans="10:12" x14ac:dyDescent="0.3">
      <c r="J98" s="34" t="s">
        <v>533</v>
      </c>
      <c r="K98" s="34" t="s">
        <v>269</v>
      </c>
      <c r="L98" s="23">
        <v>27</v>
      </c>
    </row>
    <row r="99" spans="10:12" x14ac:dyDescent="0.3">
      <c r="J99" s="34" t="s">
        <v>533</v>
      </c>
      <c r="K99" s="34" t="s">
        <v>270</v>
      </c>
      <c r="L99" s="23">
        <v>11</v>
      </c>
    </row>
    <row r="100" spans="10:12" x14ac:dyDescent="0.3">
      <c r="J100" s="34" t="s">
        <v>534</v>
      </c>
      <c r="K100" s="34" t="s">
        <v>187</v>
      </c>
      <c r="L100" s="23">
        <v>390</v>
      </c>
    </row>
    <row r="101" spans="10:12" x14ac:dyDescent="0.3">
      <c r="J101" s="34" t="s">
        <v>534</v>
      </c>
      <c r="K101" s="34" t="s">
        <v>268</v>
      </c>
      <c r="L101" s="23">
        <v>80</v>
      </c>
    </row>
    <row r="102" spans="10:12" x14ac:dyDescent="0.3">
      <c r="J102" s="34" t="s">
        <v>534</v>
      </c>
      <c r="K102" s="34" t="s">
        <v>269</v>
      </c>
      <c r="L102" s="23">
        <v>21</v>
      </c>
    </row>
    <row r="103" spans="10:12" x14ac:dyDescent="0.3">
      <c r="J103" s="34" t="s">
        <v>534</v>
      </c>
      <c r="K103" s="34" t="s">
        <v>270</v>
      </c>
      <c r="L103" s="23">
        <v>9</v>
      </c>
    </row>
    <row r="104" spans="10:12" x14ac:dyDescent="0.3">
      <c r="J104" s="34" t="s">
        <v>535</v>
      </c>
      <c r="K104" s="34" t="s">
        <v>187</v>
      </c>
      <c r="L104" s="23">
        <v>338</v>
      </c>
    </row>
    <row r="105" spans="10:12" x14ac:dyDescent="0.3">
      <c r="J105" s="34" t="s">
        <v>535</v>
      </c>
      <c r="K105" s="34" t="s">
        <v>268</v>
      </c>
      <c r="L105" s="23">
        <v>68</v>
      </c>
    </row>
    <row r="106" spans="10:12" x14ac:dyDescent="0.3">
      <c r="J106" s="34" t="s">
        <v>535</v>
      </c>
      <c r="K106" s="34" t="s">
        <v>269</v>
      </c>
      <c r="L106" s="23">
        <v>10</v>
      </c>
    </row>
    <row r="107" spans="10:12" x14ac:dyDescent="0.3">
      <c r="J107" s="34" t="s">
        <v>535</v>
      </c>
      <c r="K107" s="34" t="s">
        <v>270</v>
      </c>
      <c r="L107" s="23">
        <v>5</v>
      </c>
    </row>
    <row r="108" spans="10:12" x14ac:dyDescent="0.3">
      <c r="J108" s="34" t="s">
        <v>536</v>
      </c>
      <c r="K108" s="34" t="s">
        <v>187</v>
      </c>
      <c r="L108" s="23">
        <v>263</v>
      </c>
    </row>
    <row r="109" spans="10:12" x14ac:dyDescent="0.3">
      <c r="J109" s="34" t="s">
        <v>536</v>
      </c>
      <c r="K109" s="34" t="s">
        <v>268</v>
      </c>
      <c r="L109" s="23">
        <v>75</v>
      </c>
    </row>
    <row r="110" spans="10:12" x14ac:dyDescent="0.3">
      <c r="J110" s="34" t="s">
        <v>536</v>
      </c>
      <c r="K110" s="34" t="s">
        <v>269</v>
      </c>
      <c r="L110" s="23">
        <v>15</v>
      </c>
    </row>
    <row r="111" spans="10:12" x14ac:dyDescent="0.3">
      <c r="J111" s="34" t="s">
        <v>536</v>
      </c>
      <c r="K111" s="34" t="s">
        <v>270</v>
      </c>
      <c r="L111" s="23">
        <v>5</v>
      </c>
    </row>
    <row r="112" spans="10:12" x14ac:dyDescent="0.3">
      <c r="J112" s="34" t="s">
        <v>537</v>
      </c>
      <c r="K112" s="34" t="s">
        <v>187</v>
      </c>
      <c r="L112" s="23">
        <v>196</v>
      </c>
    </row>
    <row r="113" spans="10:12" x14ac:dyDescent="0.3">
      <c r="J113" s="34" t="s">
        <v>537</v>
      </c>
      <c r="K113" s="34" t="s">
        <v>268</v>
      </c>
      <c r="L113" s="23">
        <v>76</v>
      </c>
    </row>
    <row r="114" spans="10:12" x14ac:dyDescent="0.3">
      <c r="J114" s="34" t="s">
        <v>537</v>
      </c>
      <c r="K114" s="34" t="s">
        <v>269</v>
      </c>
      <c r="L114" s="23">
        <v>12</v>
      </c>
    </row>
    <row r="115" spans="10:12" x14ac:dyDescent="0.3">
      <c r="J115" s="34" t="s">
        <v>537</v>
      </c>
      <c r="K115" s="34" t="s">
        <v>270</v>
      </c>
      <c r="L115" s="23">
        <v>4</v>
      </c>
    </row>
    <row r="116" spans="10:12" x14ac:dyDescent="0.3">
      <c r="J116" s="34" t="s">
        <v>538</v>
      </c>
      <c r="K116" s="34" t="s">
        <v>187</v>
      </c>
      <c r="L116" s="23">
        <v>184</v>
      </c>
    </row>
    <row r="117" spans="10:12" x14ac:dyDescent="0.3">
      <c r="J117" s="34" t="s">
        <v>538</v>
      </c>
      <c r="K117" s="34" t="s">
        <v>268</v>
      </c>
      <c r="L117" s="23">
        <v>64</v>
      </c>
    </row>
    <row r="118" spans="10:12" x14ac:dyDescent="0.3">
      <c r="J118" s="34" t="s">
        <v>538</v>
      </c>
      <c r="K118" s="34" t="s">
        <v>269</v>
      </c>
      <c r="L118" s="23">
        <v>7</v>
      </c>
    </row>
    <row r="119" spans="10:12" x14ac:dyDescent="0.3">
      <c r="J119" s="34" t="s">
        <v>538</v>
      </c>
      <c r="K119" s="34" t="s">
        <v>270</v>
      </c>
      <c r="L119" s="23">
        <v>3</v>
      </c>
    </row>
    <row r="120" spans="10:12" x14ac:dyDescent="0.3">
      <c r="J120" s="34" t="s">
        <v>539</v>
      </c>
      <c r="K120" s="34" t="s">
        <v>187</v>
      </c>
      <c r="L120" s="23">
        <v>124</v>
      </c>
    </row>
    <row r="121" spans="10:12" x14ac:dyDescent="0.3">
      <c r="J121" s="34" t="s">
        <v>539</v>
      </c>
      <c r="K121" s="34" t="s">
        <v>268</v>
      </c>
      <c r="L121" s="23">
        <v>21</v>
      </c>
    </row>
    <row r="122" spans="10:12" x14ac:dyDescent="0.3">
      <c r="J122" s="34" t="s">
        <v>539</v>
      </c>
      <c r="K122" s="34" t="s">
        <v>269</v>
      </c>
      <c r="L122" s="23">
        <v>4</v>
      </c>
    </row>
    <row r="123" spans="10:12" x14ac:dyDescent="0.3">
      <c r="J123" s="34" t="s">
        <v>539</v>
      </c>
      <c r="K123" s="34" t="s">
        <v>270</v>
      </c>
      <c r="L123" s="23">
        <v>2</v>
      </c>
    </row>
    <row r="124" spans="10:12" x14ac:dyDescent="0.3">
      <c r="J124" s="34" t="s">
        <v>540</v>
      </c>
      <c r="K124" s="34" t="s">
        <v>187</v>
      </c>
      <c r="L124" s="23">
        <v>61</v>
      </c>
    </row>
    <row r="125" spans="10:12" x14ac:dyDescent="0.3">
      <c r="J125" s="34" t="s">
        <v>540</v>
      </c>
      <c r="K125" s="34" t="s">
        <v>268</v>
      </c>
      <c r="L125" s="23">
        <v>16</v>
      </c>
    </row>
    <row r="126" spans="10:12" x14ac:dyDescent="0.3">
      <c r="J126" s="34" t="s">
        <v>540</v>
      </c>
      <c r="K126" s="34" t="s">
        <v>269</v>
      </c>
      <c r="L126" s="23">
        <v>4</v>
      </c>
    </row>
    <row r="127" spans="10:12" x14ac:dyDescent="0.3">
      <c r="J127" s="34" t="s">
        <v>540</v>
      </c>
      <c r="K127" s="34" t="s">
        <v>270</v>
      </c>
      <c r="L127" s="23">
        <v>2</v>
      </c>
    </row>
    <row r="128" spans="10:12" x14ac:dyDescent="0.3">
      <c r="J128" s="34" t="s">
        <v>541</v>
      </c>
      <c r="K128" s="34" t="s">
        <v>187</v>
      </c>
      <c r="L128" s="23">
        <v>47</v>
      </c>
    </row>
    <row r="129" spans="10:12" x14ac:dyDescent="0.3">
      <c r="J129" s="34" t="s">
        <v>541</v>
      </c>
      <c r="K129" s="34" t="s">
        <v>268</v>
      </c>
      <c r="L129" s="23">
        <v>20</v>
      </c>
    </row>
    <row r="130" spans="10:12" x14ac:dyDescent="0.3">
      <c r="J130" s="34" t="s">
        <v>541</v>
      </c>
      <c r="K130" s="34" t="s">
        <v>269</v>
      </c>
      <c r="L130" s="23">
        <v>3</v>
      </c>
    </row>
    <row r="131" spans="10:12" x14ac:dyDescent="0.3">
      <c r="J131" s="34" t="s">
        <v>542</v>
      </c>
      <c r="K131" s="34" t="s">
        <v>187</v>
      </c>
      <c r="L131" s="23">
        <v>33</v>
      </c>
    </row>
    <row r="132" spans="10:12" x14ac:dyDescent="0.3">
      <c r="J132" s="34" t="s">
        <v>542</v>
      </c>
      <c r="K132" s="34" t="s">
        <v>268</v>
      </c>
      <c r="L132" s="23">
        <v>13</v>
      </c>
    </row>
  </sheetData>
  <phoneticPr fontId="23" type="noConversion"/>
  <pageMargins left="0.75" right="0.75" top="1" bottom="1" header="0.5" footer="0.5"/>
  <tableParts count="3"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39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5" t="s">
        <v>543</v>
      </c>
    </row>
    <row r="2" spans="1:3" x14ac:dyDescent="0.3">
      <c r="A2" s="10" t="s">
        <v>241</v>
      </c>
      <c r="B2" s="10" t="s">
        <v>242</v>
      </c>
      <c r="C2" s="10" t="s">
        <v>315</v>
      </c>
    </row>
    <row r="3" spans="1:3" x14ac:dyDescent="0.3">
      <c r="A3" t="s">
        <v>243</v>
      </c>
      <c r="B3" s="56">
        <v>99441</v>
      </c>
      <c r="C3" s="54" t="s">
        <v>318</v>
      </c>
    </row>
    <row r="4" spans="1:3" x14ac:dyDescent="0.3">
      <c r="A4" t="s">
        <v>244</v>
      </c>
      <c r="B4" s="56">
        <v>96096</v>
      </c>
      <c r="C4" s="54" t="s">
        <v>318</v>
      </c>
    </row>
    <row r="5" spans="1:3" x14ac:dyDescent="0.3">
      <c r="A5" t="s">
        <v>245</v>
      </c>
      <c r="B5" s="56">
        <v>3095</v>
      </c>
      <c r="C5" s="54" t="s">
        <v>318</v>
      </c>
    </row>
    <row r="6" spans="1:3" x14ac:dyDescent="0.3">
      <c r="A6" t="s">
        <v>246</v>
      </c>
      <c r="B6" s="56">
        <v>32951</v>
      </c>
      <c r="C6" s="54" t="s">
        <v>318</v>
      </c>
    </row>
    <row r="7" spans="1:3" x14ac:dyDescent="0.3">
      <c r="A7" t="s">
        <v>247</v>
      </c>
      <c r="B7" s="56">
        <v>71</v>
      </c>
      <c r="C7" s="54" t="s">
        <v>318</v>
      </c>
    </row>
    <row r="8" spans="1:3" x14ac:dyDescent="0.3">
      <c r="A8" t="s">
        <v>248</v>
      </c>
      <c r="B8" s="57">
        <v>27</v>
      </c>
      <c r="C8" s="54" t="s">
        <v>321</v>
      </c>
    </row>
    <row r="9" spans="1:3" x14ac:dyDescent="0.3">
      <c r="A9" t="s">
        <v>249</v>
      </c>
      <c r="B9" s="56">
        <v>4119</v>
      </c>
      <c r="C9" s="54" t="s">
        <v>318</v>
      </c>
    </row>
    <row r="10" spans="1:3" x14ac:dyDescent="0.3">
      <c r="A10" t="s">
        <v>250</v>
      </c>
      <c r="B10" s="56">
        <v>13591644</v>
      </c>
      <c r="C10" s="54" t="s">
        <v>318</v>
      </c>
    </row>
    <row r="11" spans="1:3" x14ac:dyDescent="0.3">
      <c r="A11" t="s">
        <v>251</v>
      </c>
      <c r="B11" s="58">
        <v>137.41</v>
      </c>
      <c r="C11" s="54" t="s">
        <v>544</v>
      </c>
    </row>
    <row r="12" spans="1:3" x14ac:dyDescent="0.3">
      <c r="A12" t="s">
        <v>10</v>
      </c>
      <c r="B12" s="59">
        <v>1.8100000000000002E-2</v>
      </c>
      <c r="C12" s="54" t="s">
        <v>545</v>
      </c>
    </row>
    <row r="13" spans="1:3" x14ac:dyDescent="0.3">
      <c r="A13" t="s">
        <v>546</v>
      </c>
      <c r="B13" s="57">
        <v>274</v>
      </c>
      <c r="C13" s="54" t="s">
        <v>321</v>
      </c>
    </row>
    <row r="14" spans="1:3" x14ac:dyDescent="0.3">
      <c r="A14" t="s">
        <v>547</v>
      </c>
      <c r="B14" s="56">
        <v>21975</v>
      </c>
      <c r="C14" s="54" t="s">
        <v>318</v>
      </c>
    </row>
    <row r="15" spans="1:3" x14ac:dyDescent="0.3">
      <c r="A15" t="s">
        <v>548</v>
      </c>
      <c r="B15" s="57">
        <v>213</v>
      </c>
      <c r="C15" s="54" t="s">
        <v>321</v>
      </c>
    </row>
    <row r="16" spans="1:3" x14ac:dyDescent="0.3">
      <c r="A16" t="s">
        <v>549</v>
      </c>
      <c r="B16" s="60">
        <v>15.4</v>
      </c>
      <c r="C16" s="54" t="s">
        <v>550</v>
      </c>
    </row>
    <row r="17" spans="1:5" x14ac:dyDescent="0.3">
      <c r="A17" t="s">
        <v>551</v>
      </c>
      <c r="B17" s="60">
        <v>24</v>
      </c>
      <c r="C17" s="54" t="s">
        <v>550</v>
      </c>
    </row>
    <row r="18" spans="1:5" x14ac:dyDescent="0.3">
      <c r="A18" t="s">
        <v>552</v>
      </c>
      <c r="B18" s="56">
        <v>1693</v>
      </c>
      <c r="C18" s="54" t="s">
        <v>318</v>
      </c>
    </row>
    <row r="21" spans="1:5" ht="18.5" x14ac:dyDescent="0.45">
      <c r="A21" s="55" t="s">
        <v>553</v>
      </c>
    </row>
    <row r="22" spans="1:5" ht="29" x14ac:dyDescent="0.3">
      <c r="A22" s="10" t="s">
        <v>253</v>
      </c>
      <c r="B22" s="10" t="s">
        <v>254</v>
      </c>
      <c r="C22" s="10" t="s">
        <v>255</v>
      </c>
      <c r="D22" s="10" t="s">
        <v>256</v>
      </c>
      <c r="E22" s="10" t="s">
        <v>257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5" t="s">
        <v>554</v>
      </c>
    </row>
    <row r="29" spans="1:5" x14ac:dyDescent="0.3">
      <c r="A29" s="10" t="s">
        <v>272</v>
      </c>
      <c r="B29" s="10" t="s">
        <v>273</v>
      </c>
    </row>
    <row r="30" spans="1:5" x14ac:dyDescent="0.3">
      <c r="A30" t="s">
        <v>555</v>
      </c>
      <c r="B30">
        <v>111798.36</v>
      </c>
    </row>
    <row r="31" spans="1:5" x14ac:dyDescent="0.3">
      <c r="A31" t="s">
        <v>556</v>
      </c>
      <c r="B31">
        <v>234223.4</v>
      </c>
    </row>
    <row r="32" spans="1:5" x14ac:dyDescent="0.3">
      <c r="A32" t="s">
        <v>557</v>
      </c>
      <c r="B32">
        <v>359198.85</v>
      </c>
    </row>
    <row r="33" spans="1:2" x14ac:dyDescent="0.3">
      <c r="A33" t="s">
        <v>558</v>
      </c>
      <c r="B33">
        <v>340669.68</v>
      </c>
    </row>
    <row r="34" spans="1:2" x14ac:dyDescent="0.3">
      <c r="A34" t="s">
        <v>559</v>
      </c>
      <c r="B34">
        <v>489338.25</v>
      </c>
    </row>
    <row r="35" spans="1:2" x14ac:dyDescent="0.3">
      <c r="A35" t="s">
        <v>560</v>
      </c>
      <c r="B35">
        <v>421923.37</v>
      </c>
    </row>
    <row r="36" spans="1:2" x14ac:dyDescent="0.3">
      <c r="A36" t="s">
        <v>561</v>
      </c>
      <c r="B36">
        <v>481604.52</v>
      </c>
    </row>
    <row r="37" spans="1:2" x14ac:dyDescent="0.3">
      <c r="A37" t="s">
        <v>562</v>
      </c>
      <c r="B37">
        <v>554699.69999999995</v>
      </c>
    </row>
    <row r="38" spans="1:2" x14ac:dyDescent="0.3">
      <c r="A38" t="s">
        <v>563</v>
      </c>
      <c r="B38">
        <v>607399.67000000004</v>
      </c>
    </row>
    <row r="39" spans="1:2" x14ac:dyDescent="0.3">
      <c r="A39" t="s">
        <v>564</v>
      </c>
      <c r="B39">
        <v>648247.65</v>
      </c>
    </row>
    <row r="40" spans="1:2" x14ac:dyDescent="0.3">
      <c r="A40" t="s">
        <v>565</v>
      </c>
      <c r="B40">
        <v>987765.37</v>
      </c>
    </row>
    <row r="41" spans="1:2" x14ac:dyDescent="0.3">
      <c r="A41" t="s">
        <v>566</v>
      </c>
      <c r="B41">
        <v>726033.19</v>
      </c>
    </row>
    <row r="42" spans="1:2" x14ac:dyDescent="0.3">
      <c r="A42" t="s">
        <v>567</v>
      </c>
      <c r="B42">
        <v>924645</v>
      </c>
    </row>
    <row r="43" spans="1:2" x14ac:dyDescent="0.3">
      <c r="A43" t="s">
        <v>568</v>
      </c>
      <c r="B43">
        <v>826437.13</v>
      </c>
    </row>
    <row r="44" spans="1:2" x14ac:dyDescent="0.3">
      <c r="A44" t="s">
        <v>569</v>
      </c>
      <c r="B44">
        <v>953356.25</v>
      </c>
    </row>
    <row r="45" spans="1:2" x14ac:dyDescent="0.3">
      <c r="A45" t="s">
        <v>570</v>
      </c>
      <c r="B45">
        <v>973534.09</v>
      </c>
    </row>
    <row r="46" spans="1:2" x14ac:dyDescent="0.3">
      <c r="A46" t="s">
        <v>571</v>
      </c>
      <c r="B46">
        <v>977544.69</v>
      </c>
    </row>
    <row r="47" spans="1:2" x14ac:dyDescent="0.3">
      <c r="A47" t="s">
        <v>572</v>
      </c>
      <c r="B47">
        <v>856077.86</v>
      </c>
    </row>
    <row r="48" spans="1:2" x14ac:dyDescent="0.3">
      <c r="A48" t="s">
        <v>573</v>
      </c>
      <c r="B48">
        <v>867953.46</v>
      </c>
    </row>
    <row r="49" spans="1:7" x14ac:dyDescent="0.3">
      <c r="A49" t="s">
        <v>574</v>
      </c>
      <c r="B49">
        <v>838576.64000000001</v>
      </c>
    </row>
    <row r="52" spans="1:7" ht="18.5" x14ac:dyDescent="0.45">
      <c r="A52" s="55" t="s">
        <v>575</v>
      </c>
    </row>
    <row r="53" spans="1:7" ht="29" x14ac:dyDescent="0.3">
      <c r="A53" s="10" t="s">
        <v>276</v>
      </c>
      <c r="B53" s="10" t="s">
        <v>277</v>
      </c>
      <c r="C53" s="10" t="s">
        <v>278</v>
      </c>
      <c r="D53" s="10" t="s">
        <v>273</v>
      </c>
      <c r="E53" s="10" t="s">
        <v>279</v>
      </c>
      <c r="F53" s="10" t="s">
        <v>280</v>
      </c>
      <c r="G53" s="10" t="s">
        <v>281</v>
      </c>
    </row>
    <row r="54" spans="1:7" x14ac:dyDescent="0.3">
      <c r="A54" t="s">
        <v>283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285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287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289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291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293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5" t="s">
        <v>576</v>
      </c>
    </row>
    <row r="63" spans="1:7" ht="29" x14ac:dyDescent="0.3">
      <c r="A63" s="10" t="s">
        <v>577</v>
      </c>
      <c r="B63" s="10" t="s">
        <v>255</v>
      </c>
      <c r="C63" s="10" t="s">
        <v>578</v>
      </c>
      <c r="D63" s="10" t="s">
        <v>277</v>
      </c>
      <c r="E63" s="10" t="s">
        <v>579</v>
      </c>
    </row>
    <row r="64" spans="1:7" x14ac:dyDescent="0.3">
      <c r="A64" t="s">
        <v>580</v>
      </c>
      <c r="B64">
        <v>25455</v>
      </c>
      <c r="C64">
        <v>95.87</v>
      </c>
      <c r="D64">
        <v>23931</v>
      </c>
      <c r="E64">
        <v>2.5100000000000001E-2</v>
      </c>
    </row>
    <row r="65" spans="1:5" x14ac:dyDescent="0.3">
      <c r="A65" t="s">
        <v>581</v>
      </c>
      <c r="B65">
        <v>22874</v>
      </c>
      <c r="C65">
        <v>134.22999999999999</v>
      </c>
      <c r="D65">
        <v>21502</v>
      </c>
      <c r="E65">
        <v>2.81E-2</v>
      </c>
    </row>
    <row r="66" spans="1:5" x14ac:dyDescent="0.3">
      <c r="A66" t="s">
        <v>582</v>
      </c>
      <c r="B66">
        <v>16257</v>
      </c>
      <c r="C66">
        <v>181.32</v>
      </c>
      <c r="D66">
        <v>15173</v>
      </c>
      <c r="E66">
        <v>3.1800000000000002E-2</v>
      </c>
    </row>
    <row r="67" spans="1:5" x14ac:dyDescent="0.3">
      <c r="A67" t="s">
        <v>583</v>
      </c>
      <c r="B67">
        <v>11866</v>
      </c>
      <c r="C67">
        <v>333.83</v>
      </c>
      <c r="D67">
        <v>10966</v>
      </c>
      <c r="E67">
        <v>4.1300000000000003E-2</v>
      </c>
    </row>
    <row r="68" spans="1:5" x14ac:dyDescent="0.3">
      <c r="A68" t="s">
        <v>584</v>
      </c>
      <c r="B68">
        <v>341</v>
      </c>
      <c r="C68">
        <v>358.34</v>
      </c>
      <c r="D68">
        <v>311</v>
      </c>
      <c r="E68">
        <v>4.1799999999999997E-2</v>
      </c>
    </row>
    <row r="71" spans="1:5" ht="18.5" x14ac:dyDescent="0.45">
      <c r="A71" s="55" t="s">
        <v>585</v>
      </c>
    </row>
    <row r="72" spans="1:5" ht="29" x14ac:dyDescent="0.3">
      <c r="A72" s="10" t="s">
        <v>349</v>
      </c>
      <c r="B72" s="10" t="s">
        <v>350</v>
      </c>
      <c r="C72" s="10" t="s">
        <v>351</v>
      </c>
      <c r="D72" s="10" t="s">
        <v>352</v>
      </c>
    </row>
    <row r="73" spans="1:5" x14ac:dyDescent="0.3">
      <c r="A73" t="s">
        <v>146</v>
      </c>
      <c r="B73">
        <v>8.8000000000000007</v>
      </c>
      <c r="C73">
        <v>19.100000000000001</v>
      </c>
      <c r="D73">
        <v>10.3</v>
      </c>
    </row>
    <row r="74" spans="1:5" x14ac:dyDescent="0.3">
      <c r="A74" t="s">
        <v>438</v>
      </c>
      <c r="B74">
        <v>12</v>
      </c>
      <c r="C74">
        <v>24.5</v>
      </c>
      <c r="D74">
        <v>12.5</v>
      </c>
    </row>
    <row r="75" spans="1:5" x14ac:dyDescent="0.3">
      <c r="A75" t="s">
        <v>454</v>
      </c>
      <c r="B75">
        <v>12</v>
      </c>
      <c r="C75">
        <v>24.6</v>
      </c>
      <c r="D75">
        <v>12.6</v>
      </c>
    </row>
    <row r="76" spans="1:5" x14ac:dyDescent="0.3">
      <c r="A76" t="s">
        <v>481</v>
      </c>
      <c r="B76">
        <v>13</v>
      </c>
      <c r="C76">
        <v>24.3</v>
      </c>
      <c r="D76">
        <v>11.3</v>
      </c>
    </row>
    <row r="77" spans="1:5" x14ac:dyDescent="0.3">
      <c r="A77" t="s">
        <v>463</v>
      </c>
      <c r="B77">
        <v>15</v>
      </c>
      <c r="C77">
        <v>25.8</v>
      </c>
      <c r="D77">
        <v>10.8</v>
      </c>
    </row>
    <row r="78" spans="1:5" x14ac:dyDescent="0.3">
      <c r="A78" t="s">
        <v>429</v>
      </c>
      <c r="B78">
        <v>15.3</v>
      </c>
      <c r="C78">
        <v>26.4</v>
      </c>
      <c r="D78">
        <v>11.1</v>
      </c>
    </row>
    <row r="79" spans="1:5" x14ac:dyDescent="0.3">
      <c r="A79" t="s">
        <v>445</v>
      </c>
      <c r="B79">
        <v>15.3</v>
      </c>
      <c r="C79">
        <v>28.5</v>
      </c>
      <c r="D79">
        <v>13.2</v>
      </c>
    </row>
    <row r="80" spans="1:5" x14ac:dyDescent="0.3">
      <c r="A80" t="s">
        <v>499</v>
      </c>
      <c r="B80">
        <v>15.6</v>
      </c>
      <c r="C80">
        <v>27.1</v>
      </c>
      <c r="D80">
        <v>11.5</v>
      </c>
    </row>
    <row r="81" spans="1:14" x14ac:dyDescent="0.3">
      <c r="A81" t="s">
        <v>531</v>
      </c>
      <c r="B81">
        <v>15.6</v>
      </c>
      <c r="C81">
        <v>26</v>
      </c>
      <c r="D81">
        <v>10.4</v>
      </c>
    </row>
    <row r="82" spans="1:14" x14ac:dyDescent="0.3">
      <c r="A82" t="s">
        <v>490</v>
      </c>
      <c r="B82">
        <v>15.8</v>
      </c>
      <c r="C82">
        <v>25.6</v>
      </c>
      <c r="D82">
        <v>9.8000000000000007</v>
      </c>
    </row>
    <row r="83" spans="1:14" x14ac:dyDescent="0.3">
      <c r="A83" t="s">
        <v>537</v>
      </c>
      <c r="B83">
        <v>17.7</v>
      </c>
      <c r="C83">
        <v>29.1</v>
      </c>
      <c r="D83">
        <v>11.4</v>
      </c>
    </row>
    <row r="84" spans="1:14" x14ac:dyDescent="0.3">
      <c r="A84" t="s">
        <v>529</v>
      </c>
      <c r="B84">
        <v>18.100000000000001</v>
      </c>
      <c r="C84">
        <v>31.7</v>
      </c>
      <c r="D84">
        <v>13.6</v>
      </c>
    </row>
    <row r="85" spans="1:14" x14ac:dyDescent="0.3">
      <c r="A85" t="s">
        <v>507</v>
      </c>
      <c r="B85">
        <v>18.399999999999999</v>
      </c>
      <c r="C85">
        <v>31.1</v>
      </c>
      <c r="D85">
        <v>12.7</v>
      </c>
    </row>
    <row r="86" spans="1:14" x14ac:dyDescent="0.3">
      <c r="A86" t="s">
        <v>472</v>
      </c>
      <c r="B86">
        <v>19.3</v>
      </c>
      <c r="C86">
        <v>29.4</v>
      </c>
      <c r="D86">
        <v>10.1</v>
      </c>
    </row>
    <row r="87" spans="1:14" x14ac:dyDescent="0.3">
      <c r="A87" t="s">
        <v>534</v>
      </c>
      <c r="B87">
        <v>19.3</v>
      </c>
      <c r="C87">
        <v>32.200000000000003</v>
      </c>
      <c r="D87">
        <v>12.9</v>
      </c>
    </row>
    <row r="90" spans="1:14" ht="18.5" x14ac:dyDescent="0.45">
      <c r="A90" s="55" t="s">
        <v>586</v>
      </c>
    </row>
    <row r="91" spans="1:14" x14ac:dyDescent="0.3">
      <c r="A91" s="10" t="s">
        <v>297</v>
      </c>
      <c r="B91" s="10" t="s">
        <v>298</v>
      </c>
      <c r="C91" s="10" t="s">
        <v>299</v>
      </c>
      <c r="D91" s="10" t="s">
        <v>300</v>
      </c>
      <c r="E91" s="10" t="s">
        <v>301</v>
      </c>
      <c r="F91" s="10" t="s">
        <v>302</v>
      </c>
      <c r="G91" s="10" t="s">
        <v>303</v>
      </c>
      <c r="H91" s="10" t="s">
        <v>304</v>
      </c>
      <c r="I91" s="10" t="s">
        <v>305</v>
      </c>
      <c r="J91" s="10" t="s">
        <v>306</v>
      </c>
      <c r="K91" s="10" t="s">
        <v>307</v>
      </c>
      <c r="L91" s="10" t="s">
        <v>308</v>
      </c>
      <c r="M91" s="10" t="s">
        <v>309</v>
      </c>
      <c r="N91" s="10" t="s">
        <v>310</v>
      </c>
    </row>
    <row r="92" spans="1:14" x14ac:dyDescent="0.3">
      <c r="A92" t="s">
        <v>555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556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557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558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559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560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561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562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563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564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565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566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567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568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569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570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571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572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573</v>
      </c>
      <c r="B110">
        <v>1</v>
      </c>
      <c r="C110">
        <v>5.2109598251807044E-3</v>
      </c>
    </row>
    <row r="111" spans="1:14" x14ac:dyDescent="0.3">
      <c r="A111" t="s">
        <v>574</v>
      </c>
      <c r="B111">
        <v>1</v>
      </c>
    </row>
    <row r="114" spans="1:4" ht="18.5" x14ac:dyDescent="0.45">
      <c r="A114" s="55" t="s">
        <v>587</v>
      </c>
    </row>
    <row r="115" spans="1:4" x14ac:dyDescent="0.3">
      <c r="A115" s="10" t="s">
        <v>259</v>
      </c>
      <c r="B115" s="10" t="s">
        <v>255</v>
      </c>
      <c r="C115" s="10" t="s">
        <v>260</v>
      </c>
    </row>
    <row r="116" spans="1:4" x14ac:dyDescent="0.3">
      <c r="A116" t="s">
        <v>117</v>
      </c>
      <c r="B116" s="56">
        <v>96478</v>
      </c>
      <c r="C116" s="61">
        <f>B116/SUM($B$116:$B$120)</f>
        <v>0.97020343721402635</v>
      </c>
    </row>
    <row r="117" spans="1:4" x14ac:dyDescent="0.3">
      <c r="A117" t="s">
        <v>261</v>
      </c>
      <c r="B117" s="56">
        <v>1107</v>
      </c>
      <c r="C117" s="61">
        <f>B117/SUM($B$116:$B$120)</f>
        <v>1.1132229161010046E-2</v>
      </c>
    </row>
    <row r="118" spans="1:4" x14ac:dyDescent="0.3">
      <c r="A118" t="s">
        <v>262</v>
      </c>
      <c r="B118" s="56">
        <v>625</v>
      </c>
      <c r="C118" s="61">
        <f>B118/SUM($B$116:$B$120)</f>
        <v>6.2851338984925738E-3</v>
      </c>
    </row>
    <row r="119" spans="1:4" x14ac:dyDescent="0.3">
      <c r="A119" t="s">
        <v>263</v>
      </c>
      <c r="B119" s="56">
        <v>609</v>
      </c>
      <c r="C119" s="61">
        <f>B119/SUM($B$116:$B$120)</f>
        <v>6.1242344706911632E-3</v>
      </c>
    </row>
    <row r="120" spans="1:4" x14ac:dyDescent="0.3">
      <c r="A120" t="s">
        <v>264</v>
      </c>
      <c r="B120" s="56">
        <v>622</v>
      </c>
      <c r="C120" s="61">
        <f>B120/SUM($B$116:$B$120)</f>
        <v>6.2549652557798091E-3</v>
      </c>
    </row>
    <row r="123" spans="1:4" ht="18.5" x14ac:dyDescent="0.45">
      <c r="A123" s="55" t="s">
        <v>588</v>
      </c>
    </row>
    <row r="124" spans="1:4" x14ac:dyDescent="0.3">
      <c r="A124" s="10" t="s">
        <v>266</v>
      </c>
      <c r="B124" s="10" t="s">
        <v>255</v>
      </c>
      <c r="C124" s="10" t="s">
        <v>260</v>
      </c>
      <c r="D124" s="10" t="s">
        <v>267</v>
      </c>
    </row>
    <row r="125" spans="1:4" x14ac:dyDescent="0.3">
      <c r="A125" t="s">
        <v>187</v>
      </c>
      <c r="B125" s="56">
        <v>76505</v>
      </c>
      <c r="C125" s="61">
        <f>B125/SUM($B$125:$B$128)</f>
        <v>0.75238732138115516</v>
      </c>
      <c r="D125" s="60">
        <v>3.51</v>
      </c>
    </row>
    <row r="126" spans="1:4" x14ac:dyDescent="0.3">
      <c r="A126" t="s">
        <v>268</v>
      </c>
      <c r="B126" s="56">
        <v>19784</v>
      </c>
      <c r="C126" s="61">
        <f>B126/SUM($B$125:$B$128)</f>
        <v>0.19456546325344454</v>
      </c>
      <c r="D126" s="60">
        <v>1</v>
      </c>
    </row>
    <row r="127" spans="1:4" x14ac:dyDescent="0.3">
      <c r="A127" t="s">
        <v>269</v>
      </c>
      <c r="B127" s="56">
        <v>3866</v>
      </c>
      <c r="C127" s="61">
        <f>B127/SUM($B$125:$B$128)</f>
        <v>3.8020121357552394E-2</v>
      </c>
      <c r="D127" s="60">
        <v>1</v>
      </c>
    </row>
    <row r="128" spans="1:4" x14ac:dyDescent="0.3">
      <c r="A128" t="s">
        <v>270</v>
      </c>
      <c r="B128" s="56">
        <v>1528</v>
      </c>
      <c r="C128" s="61">
        <f>B128/SUM($B$125:$B$128)</f>
        <v>1.502709400784792E-2</v>
      </c>
      <c r="D128" s="60">
        <v>1</v>
      </c>
    </row>
    <row r="131" spans="1:2" ht="18.5" x14ac:dyDescent="0.45">
      <c r="A131" s="55" t="s">
        <v>589</v>
      </c>
    </row>
    <row r="132" spans="1:2" x14ac:dyDescent="0.3">
      <c r="A132" s="10" t="s">
        <v>241</v>
      </c>
      <c r="B132" s="10" t="s">
        <v>590</v>
      </c>
    </row>
    <row r="133" spans="1:2" x14ac:dyDescent="0.3">
      <c r="A133" t="s">
        <v>591</v>
      </c>
      <c r="B133" s="56">
        <f>VLOOKUP("At Risk",$A$54:$G$59,2,FALSE)</f>
        <v>21975</v>
      </c>
    </row>
    <row r="134" spans="1:2" x14ac:dyDescent="0.3">
      <c r="A134" t="s">
        <v>592</v>
      </c>
      <c r="B134" s="57">
        <f>VLOOKUP("At Risk",$A$54:$G$59,6,FALSE)</f>
        <v>213.4</v>
      </c>
    </row>
    <row r="135" spans="1:2" x14ac:dyDescent="0.3">
      <c r="A135" t="s">
        <v>593</v>
      </c>
      <c r="B135" s="57">
        <f>VLOOKUP("7-10 installments",$A$64:$E$68,3,FALSE)</f>
        <v>333.83</v>
      </c>
    </row>
    <row r="136" spans="1:2" x14ac:dyDescent="0.3">
      <c r="A136" t="s">
        <v>594</v>
      </c>
      <c r="B136" s="57">
        <f>VLOOKUP("1 (single)",$A$64:$E$68,3,FALSE)</f>
        <v>95.87</v>
      </c>
    </row>
    <row r="137" spans="1:2" x14ac:dyDescent="0.3">
      <c r="A137" t="s">
        <v>595</v>
      </c>
      <c r="B137" s="56">
        <f>B133*0.2*B134*0.5</f>
        <v>468946.5</v>
      </c>
    </row>
    <row r="138" spans="1:2" x14ac:dyDescent="0.3">
      <c r="A138" t="s">
        <v>596</v>
      </c>
      <c r="B138" s="58">
        <f>B135/B136</f>
        <v>3.4821111922394907</v>
      </c>
    </row>
    <row r="139" spans="1:2" x14ac:dyDescent="0.3">
      <c r="A139" t="s">
        <v>10</v>
      </c>
      <c r="B139" s="59">
        <f>_xlfn.XLOOKUP("Cross-month repeat rate",$A$3:$A$18,$B$3:$B$18)</f>
        <v>1.8100000000000002E-2</v>
      </c>
    </row>
  </sheetData>
  <phoneticPr fontId="23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4</vt:i4>
      </vt:variant>
    </vt:vector>
  </HeadingPairs>
  <TitlesOfParts>
    <vt:vector size="17" baseType="lpstr">
      <vt:lpstr>01_Cover</vt:lpstr>
      <vt:lpstr>02_TOC</vt:lpstr>
      <vt:lpstr>03_Data_Dictionary</vt:lpstr>
      <vt:lpstr>04_Brief</vt:lpstr>
      <vt:lpstr>05_KPI_Dashboard</vt:lpstr>
      <vt:lpstr>06_Revenue_Trend</vt:lpstr>
      <vt:lpstr>07_RFM_Segments</vt:lpstr>
      <vt:lpstr>08_Cohort_Heatmap</vt:lpstr>
      <vt:lpstr>09_ROI_Calculator</vt:lpstr>
      <vt:lpstr>10_Installments</vt:lpstr>
      <vt:lpstr>11_Logistics</vt:lpstr>
      <vt:lpstr>12_Pivot_Analysis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2026-05-07T19:43:39Z</dcterms:created>
  <dcterms:modified xsi:type="dcterms:W3CDTF">2026-05-07T19:43:44Z</dcterms:modified>
</cp:coreProperties>
</file>