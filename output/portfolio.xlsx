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worksheets/sheet12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13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4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TOC" sheetId="2" state="visible" r:id="rId2"/>
    <sheet xmlns:r="http://schemas.openxmlformats.org/officeDocument/2006/relationships" name="03_Data_Dictionary" sheetId="3" state="visible" r:id="rId3"/>
    <sheet xmlns:r="http://schemas.openxmlformats.org/officeDocument/2006/relationships" name="04_Executive_Summary" sheetId="4" state="visible" r:id="rId4"/>
    <sheet xmlns:r="http://schemas.openxmlformats.org/officeDocument/2006/relationships" name="05_KPI_Dashboard" sheetId="5" state="visible" r:id="rId5"/>
    <sheet xmlns:r="http://schemas.openxmlformats.org/officeDocument/2006/relationships" name="06_Revenue_Trend" sheetId="6" state="visible" r:id="rId6"/>
    <sheet xmlns:r="http://schemas.openxmlformats.org/officeDocument/2006/relationships" name="07_RFM_Segments" sheetId="7" state="visible" r:id="rId7"/>
    <sheet xmlns:r="http://schemas.openxmlformats.org/officeDocument/2006/relationships" name="08_Cohort_Heatmap" sheetId="8" state="visible" r:id="rId8"/>
    <sheet xmlns:r="http://schemas.openxmlformats.org/officeDocument/2006/relationships" name="09_ROI_Calculator" sheetId="9" state="visible" r:id="rId9"/>
    <sheet xmlns:r="http://schemas.openxmlformats.org/officeDocument/2006/relationships" name="10_Installments" sheetId="10" state="visible" r:id="rId10"/>
    <sheet xmlns:r="http://schemas.openxmlformats.org/officeDocument/2006/relationships" name="11_Logistics" sheetId="11" state="visible" r:id="rId11"/>
    <sheet xmlns:r="http://schemas.openxmlformats.org/officeDocument/2006/relationships" name="12_Methodology" sheetId="12" state="visible" r:id="rId12"/>
    <sheet xmlns:r="http://schemas.openxmlformats.org/officeDocument/2006/relationships" name="13_Pivot_Analysis" sheetId="13" state="visible" r:id="rId13"/>
    <sheet xmlns:r="http://schemas.openxmlformats.org/officeDocument/2006/relationships" name="_data_calc" sheetId="14" state="hidden" r:id="rId14"/>
  </sheets>
  <definedNames>
    <definedName name="At_Risk_Count">'09_ROI_Calculator'!$C$7</definedName>
    <definedName name="ARPU">'09_ROI_Calculator'!$C$8</definedName>
    <definedName name="Repeat_Spend">'09_ROI_Calculator'!$C$9</definedName>
    <definedName name="CRM_Cost">'09_ROI_Calculator'!$C$10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&quot;×&quot;"/>
  </numFmts>
  <fonts count="24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1F3A5F"/>
      <sz val="26"/>
    </font>
    <font>
      <name val="Calibri"/>
      <i val="1"/>
      <color rgb="00595959"/>
      <sz val="14"/>
    </font>
    <font>
      <name val="Calibri"/>
      <b val="1"/>
      <color rgb="001F3A5F"/>
      <sz val="11"/>
    </font>
    <font>
      <name val="Calibri"/>
      <color rgb="00000000"/>
      <sz val="11"/>
    </font>
    <font>
      <name val="Calibri"/>
      <b val="1"/>
      <color rgb="001F3A5F"/>
      <sz val="13"/>
    </font>
    <font>
      <name val="Calibri"/>
      <b val="1"/>
      <color rgb="00FFFFFF"/>
      <sz val="24"/>
    </font>
    <font>
      <name val="Calibri"/>
      <color rgb="00000000"/>
      <sz val="9"/>
    </font>
    <font>
      <name val="Calibri"/>
      <b val="1"/>
      <color rgb="00000000"/>
      <sz val="11"/>
    </font>
    <font>
      <name val="Calibri"/>
      <color rgb="000563C1"/>
      <sz val="11"/>
    </font>
    <font>
      <name val="Calibri"/>
      <b val="1"/>
      <color rgb="001F3A5F"/>
      <sz val="18"/>
    </font>
    <font>
      <name val="Calibri"/>
      <i val="1"/>
      <color rgb="00595959"/>
      <sz val="11"/>
    </font>
    <font>
      <name val="Calibri"/>
      <b val="1"/>
      <color rgb="000563C1"/>
      <sz val="11"/>
    </font>
    <font>
      <name val="Consolas"/>
      <b val="1"/>
      <sz val="10"/>
    </font>
    <font>
      <name val="Consolas"/>
      <sz val="9"/>
    </font>
    <font>
      <name val="Calibri"/>
      <b val="1"/>
      <color rgb="00000000"/>
      <sz val="12"/>
    </font>
    <font>
      <name val="Calibri"/>
      <b val="1"/>
      <color rgb="00FFFFFF"/>
      <sz val="14"/>
    </font>
    <font>
      <name val="Calibri"/>
      <i val="1"/>
      <color rgb="00000000"/>
      <sz val="11"/>
    </font>
    <font>
      <name val="Calibri"/>
      <i val="1"/>
      <color rgb="00595959"/>
      <sz val="10"/>
    </font>
    <font>
      <name val="Consolas"/>
      <sz val="10"/>
    </font>
    <font>
      <name val="Calibri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2E8B8B"/>
      </patternFill>
    </fill>
    <fill>
      <patternFill patternType="solid">
        <fgColor rgb="00E07B39"/>
      </patternFill>
    </fill>
    <fill>
      <patternFill patternType="solid">
        <fgColor rgb="00F4D35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E07B39"/>
      </left>
      <right style="medium">
        <color rgb="00E07B39"/>
      </right>
      <top style="medium">
        <color rgb="00E07B39"/>
      </top>
      <bottom style="medium">
        <color rgb="00E07B39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4" fillId="0" borderId="0" applyAlignment="1" pivotButton="0" quotePrefix="0" xfId="0">
      <alignment horizontal="centerContinuous" vertical="center" wrapText="1"/>
    </xf>
    <xf numFmtId="0" fontId="0" fillId="0" borderId="0" applyAlignment="1" pivotButton="0" quotePrefix="0" xfId="0">
      <alignment horizontal="centerContinuous" vertical="center" wrapText="1"/>
    </xf>
    <xf numFmtId="0" fontId="5" fillId="0" borderId="0" applyAlignment="1" pivotButton="0" quotePrefix="0" xfId="0">
      <alignment horizontal="centerContinuous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Continuous" vertical="center" wrapText="1"/>
    </xf>
    <xf numFmtId="0" fontId="14" fillId="0" borderId="0" applyAlignment="1" pivotButton="0" quotePrefix="0" xfId="0">
      <alignment horizontal="centerContinuous" vertical="center" wrapText="1"/>
    </xf>
    <xf numFmtId="0" fontId="0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0" borderId="1" pivotButton="0" quotePrefix="0" xfId="0"/>
    <xf numFmtId="3" fontId="0" fillId="0" borderId="1" pivotButton="0" quotePrefix="0" xfId="0"/>
    <xf numFmtId="0" fontId="1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2" fontId="0" fillId="0" borderId="1" applyAlignment="1" pivotButton="0" quotePrefix="0" xfId="0">
      <alignment horizontal="right" vertical="center" wrapText="1"/>
    </xf>
    <xf numFmtId="0" fontId="14" fillId="0" borderId="0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7" fillId="0" borderId="0" applyAlignment="1" pivotButton="0" quotePrefix="0" xfId="0">
      <alignment horizontal="left" vertical="center" wrapText="1"/>
    </xf>
    <xf numFmtId="1" fontId="0" fillId="0" borderId="1" pivotButton="0" quotePrefix="0" xfId="0"/>
    <xf numFmtId="0" fontId="11" fillId="3" borderId="1" pivotButton="0" quotePrefix="0" xfId="0"/>
    <xf numFmtId="165" fontId="10" fillId="0" borderId="1" applyAlignment="1" pivotButton="0" quotePrefix="0" xfId="0">
      <alignment horizontal="center" vertical="center" wrapText="1"/>
    </xf>
    <xf numFmtId="3" fontId="18" fillId="6" borderId="2" applyAlignment="1" pivotButton="0" quotePrefix="0" xfId="0">
      <alignment horizontal="center" vertical="center" wrapText="1"/>
    </xf>
    <xf numFmtId="0" fontId="3" fillId="0" borderId="1" pivotButton="0" quotePrefix="0" xfId="0"/>
    <xf numFmtId="1" fontId="18" fillId="6" borderId="2" applyAlignment="1" pivotButton="0" quotePrefix="0" xfId="0">
      <alignment horizontal="center" vertical="center" wrapText="1"/>
    </xf>
    <xf numFmtId="9" fontId="18" fillId="6" borderId="2" applyAlignment="1" pivotButton="0" quotePrefix="0" xfId="0">
      <alignment horizontal="center" vertical="center" wrapText="1"/>
    </xf>
    <xf numFmtId="9" fontId="11" fillId="3" borderId="1" applyAlignment="1" pivotButton="0" quotePrefix="0" xfId="0">
      <alignment horizontal="center" vertical="center" wrapText="1"/>
    </xf>
    <xf numFmtId="9" fontId="11" fillId="6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0" fontId="2" fillId="2" borderId="1" pivotButton="0" quotePrefix="0" xfId="0"/>
    <xf numFmtId="166" fontId="19" fillId="4" borderId="1" applyAlignment="1" pivotButton="0" quotePrefix="0" xfId="0">
      <alignment horizontal="center" vertical="center" wrapText="1"/>
    </xf>
    <xf numFmtId="0" fontId="20" fillId="0" borderId="0" pivotButton="0" quotePrefix="0" xfId="0"/>
    <xf numFmtId="10" fontId="0" fillId="0" borderId="1" pivotButton="0" quotePrefix="0" xfId="0"/>
    <xf numFmtId="0" fontId="17" fillId="3" borderId="1" applyAlignment="1" pivotButton="0" quotePrefix="0" xfId="0">
      <alignment vertical="top" wrapText="1"/>
    </xf>
    <xf numFmtId="0" fontId="21" fillId="0" borderId="0" pivotButton="0" quotePrefix="0" xfId="0"/>
    <xf numFmtId="0" fontId="22" fillId="0" borderId="1" pivotButton="0" quotePrefix="0" xfId="0"/>
    <xf numFmtId="0" fontId="23" fillId="0" borderId="1" pivotButton="0" quotePrefix="0" xfId="0"/>
    <xf numFmtId="0" fontId="23" fillId="0" borderId="1" applyAlignment="1" pivotButton="0" quotePrefix="0" xfId="0">
      <alignment horizontal="left" vertical="center" wrapText="1"/>
    </xf>
    <xf numFmtId="3" fontId="11" fillId="3" borderId="1" applyAlignment="1" pivotButton="0" quotePrefix="0" xfId="0">
      <alignment horizontal="right" vertical="center" wrapText="1"/>
    </xf>
    <xf numFmtId="3" fontId="2" fillId="2" borderId="1" applyAlignment="1" pivotButton="0" quotePrefix="0" xfId="0">
      <alignment horizontal="right" vertical="center" wrapText="1"/>
    </xf>
    <xf numFmtId="3" fontId="2" fillId="5" borderId="1" applyAlignment="1" pivotButton="0" quotePrefix="0" xfId="0">
      <alignment horizontal="right" vertical="center" wrapText="1"/>
    </xf>
    <xf numFmtId="0" fontId="1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(R$) — peak Nov 2017 (Black Friday + Christmas)</a:t>
            </a:r>
          </a:p>
        </rich>
      </tx>
    </title>
    <plotArea>
      <lineChart>
        <grouping val="standard"/>
        <ser>
          <idx val="0"/>
          <order val="0"/>
          <tx>
            <strRef>
              <f>'06_Revenue_Trend'!C5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'06_Revenue_Trend'!$B$6:$B$25</f>
            </numRef>
          </cat>
          <val>
            <numRef>
              <f>'06_Revenue_Trend'!$C$6:$C$25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Customer share vs Revenue share — Pareto: Champions+At-Risk = 39.7% / 66.9%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'07_RFM_Segments'!D5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'07_RFM_Segments'!$B$6:$B$11</f>
            </numRef>
          </cat>
          <val>
            <numRef>
              <f>'07_RFM_Segments'!$D$6:$D$11</f>
            </numRef>
          </val>
        </ser>
        <ser>
          <idx val="1"/>
          <order val="1"/>
          <tx>
            <strRef>
              <f>'07_RFM_Segments'!F5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'07_RFM_Segments'!$B$6:$B$11</f>
            </numRef>
          </cat>
          <val>
            <numRef>
              <f>'07_RFM_Segments'!$F$6:$F$11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Share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ticket (R$) by installment bucket — 7-10 installments = 3.48× single-payment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'10_Installments'!D5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'10_Installments'!$B$6:$B$10</f>
            </numRef>
          </cat>
          <val>
            <numRef>
              <f>'10_Installments'!$D$6:$D$10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Installments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ticket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Repeat rate by installment bucket — 7+ installment customers retain 65% better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'10_Installments'!F5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'10_Installments'!$B$6:$B$10</f>
            </numRef>
          </cat>
          <val>
            <numRef>
              <f>'10_Installments'!$F$6:$F$10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Installments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Repeat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vs Estimated delivery days — SP best (8.8d), RN worst (19.3d)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'11_Logistics'!C5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'11_Logistics'!$B$6:$B$20</f>
            </numRef>
          </cat>
          <val>
            <numRef>
              <f>'11_Logistics'!$C$6:$C$20</f>
            </numRef>
          </val>
        </ser>
        <ser>
          <idx val="1"/>
          <order val="1"/>
          <tx>
            <strRef>
              <f>'11_Logistics'!D5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'11_Logistics'!$B$6:$B$20</f>
            </numRef>
          </cat>
          <val>
            <numRef>
              <f>'11_Logistics'!$D$6:$D$20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31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4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schema" displayName="tbl_schema" ref="B6:D15" headerRowCount="1">
  <autoFilter ref="B6:D15"/>
  <tableColumns count="3">
    <tableColumn id="2" name="Table"/>
    <tableColumn id="3" name="Rows"/>
    <tableColumn id="4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sample_orders" displayName="tbl_sample_orders" ref="B19:I22" headerRowCount="1">
  <autoFilter ref="B19:I22"/>
  <tableColumns count="8">
    <tableColumn id="2" name="order_id"/>
    <tableColumn id="3" name="customer_id"/>
    <tableColumn id="4" name="order_status"/>
    <tableColumn id="5" name="order_purchase_timestamp"/>
    <tableColumn id="6" name="order_approved_at"/>
    <tableColumn id="7" name="order_delivered_carrier_date"/>
    <tableColumn id="8" name="order_delivered_customer_date"/>
    <tableColumn id="9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sample_customers" displayName="tbl_sample_customers" ref="B25:F28" headerRowCount="1">
  <autoFilter ref="B25:F28"/>
  <tableColumns count="5">
    <tableColumn id="2" name="customer_id"/>
    <tableColumn id="3" name="customer_unique_id"/>
    <tableColumn id="4" name="customer_zip_code_prefix"/>
    <tableColumn id="5" name="customer_city"/>
    <tableColumn id="6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sample_items" displayName="tbl_sample_items" ref="B31:H34" headerRowCount="1">
  <autoFilter ref="B31:H34"/>
  <tableColumns count="7">
    <tableColumn id="2" name="order_id"/>
    <tableColumn id="3" name="order_item_id"/>
    <tableColumn id="4" name="product_id"/>
    <tableColumn id="5" name="seller_id"/>
    <tableColumn id="6" name="shipping_limit_date"/>
    <tableColumn id="7" name="price"/>
    <tableColumn id="8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sample_payments" displayName="tbl_sample_payments" ref="B37:F40" headerRowCount="1">
  <autoFilter ref="B37:F40"/>
  <tableColumns count="5">
    <tableColumn id="2" name="order_id"/>
    <tableColumn id="3" name="payment_sequential"/>
    <tableColumn id="4" name="payment_type"/>
    <tableColumn id="5" name="payment_installments"/>
    <tableColumn id="6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sample_reviews" displayName="tbl_sample_reviews" ref="B43:H46" headerRowCount="1">
  <autoFilter ref="B43:H46"/>
  <tableColumns count="7">
    <tableColumn id="2" name="review_id"/>
    <tableColumn id="3" name="order_id"/>
    <tableColumn id="4" name="review_score"/>
    <tableColumn id="5" name="review_comment_title"/>
    <tableColumn id="6" name="review_comment_message"/>
    <tableColumn id="7" name="review_creation_date"/>
    <tableColumn id="8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status" displayName="tbl_status" ref="B27:D32" headerRowCount="1">
  <autoFilter ref="B27:D32"/>
  <tableColumns count="3">
    <tableColumn id="2" name="Status"/>
    <tableColumn id="3" name="Orders"/>
    <tableColumn id="4" name="Share %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payment" displayName="tbl_payment" ref="B36:E40" headerRowCount="1">
  <autoFilter ref="B36:E40"/>
  <tableColumns count="4">
    <tableColumn id="2" name="Payment type"/>
    <tableColumn id="3" name="Orders"/>
    <tableColumn id="4" name="Share %"/>
    <tableColumn id="5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revenue_view" displayName="tbl_revenue_view" ref="B5:C25" headerRowCount="1">
  <autoFilter ref="B5:C25"/>
  <tableColumns count="2">
    <tableColumn id="2" name="Month"/>
    <tableColumn id="3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rfm_view" displayName="tbl_rfm_view" ref="B5:I11" headerRowCount="1">
  <autoFilter ref="B5:I11"/>
  <tableColumns count="8">
    <tableColumn id="2" name="Segment"/>
    <tableColumn id="3" name="Customers"/>
    <tableColumn id="4" name="Customer %"/>
    <tableColumn id="5" name="Revenue (R$)"/>
    <tableColumn id="6" name="Revenue %"/>
    <tableColumn id="7" name="ARPU (R$)"/>
    <tableColumn id="8" name="Avg Recency (d)"/>
    <tableColumn id="9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cohort_view" displayName="tbl_cohort_view" ref="B5:O25" headerRowCount="1">
  <autoFilter ref="B5:O25"/>
  <tableColumns count="14">
    <tableColumn id="2" name="Cohort"/>
    <tableColumn id="3" name="M0"/>
    <tableColumn id="4" name="M1"/>
    <tableColumn id="5" name="M2"/>
    <tableColumn id="6" name="M3"/>
    <tableColumn id="7" name="M4"/>
    <tableColumn id="8" name="M5"/>
    <tableColumn id="9" name="M6"/>
    <tableColumn id="10" name="M7"/>
    <tableColumn id="11" name="M8"/>
    <tableColumn id="12" name="M9"/>
    <tableColumn id="13" name="M10"/>
    <tableColumn id="14" name="M11"/>
    <tableColumn id="15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inst_view" displayName="tbl_inst_view" ref="B5:F10" headerRowCount="1">
  <autoFilter ref="B5:F10"/>
  <tableColumns count="5">
    <tableColumn id="2" name="Installment bucket"/>
    <tableColumn id="3" name="Orders"/>
    <tableColumn id="4" name="Avg ticket (R$)"/>
    <tableColumn id="5" name="Customers"/>
    <tableColumn id="6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logistics_view" displayName="tbl_logistics_view" ref="B5:E20" headerRowCount="1">
  <autoFilter ref="B5:E20"/>
  <tableColumns count="4">
    <tableColumn id="2" name="State"/>
    <tableColumn id="3" name="Actual days"/>
    <tableColumn id="4" name="Estimated days"/>
    <tableColumn id="5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stack" displayName="tbl_stack" ref="B5:C12" headerRowCount="1">
  <autoFilter ref="B5:C12"/>
  <tableColumns count="2">
    <tableColumn id="2" name="Tool"/>
    <tableColumn id="3" name="Rol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compare_ntile" displayName="tbl_compare_ntile" ref="B18:D22" headerRowCount="1">
  <autoFilter ref="B18:D22"/>
  <tableColumns count="3">
    <tableColumn id="2" name="Dimension"/>
    <tableColumn id="3" name="NTILE (SQL)"/>
    <tableColumn id="4" name="pandas qcu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category_translation" displayName="tbl_category_translation" ref="N6:O77" headerRowCount="1">
  <autoFilter ref="N6:O77"/>
  <tableColumns count="2">
    <tableColumn id="14" name="PT name"/>
    <tableColumn id="15" name="EN nam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lookup_methods" displayName="tbl_lookup_methods" ref="B15:E18" headerRowCount="1">
  <autoFilter ref="B15:E18"/>
  <tableColumns count="4">
    <tableColumn id="2" name="Function"/>
    <tableColumn id="3" name="Excel version"/>
    <tableColumn id="4" name="When to use"/>
    <tableColumn id="5" name="Trade-off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payments_long" displayName="tbl_payments_long" ref="J27:L132" headerRowCount="1">
  <autoFilter ref="J27:L132"/>
  <tableColumns count="3">
    <tableColumn id="10" name="State"/>
    <tableColumn id="11" name="Payment type"/>
    <tableColumn id="12" name="Order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kpi_lookup" displayName="tbl_kpi_lookup" ref="A2:C18" headerRowCount="1">
  <autoFilter ref="A2:C18"/>
  <tableColumns count="3">
    <tableColumn id="1" name="Metric"/>
    <tableColumn id="2" name="Value"/>
    <tableColumn id="3" name="Forma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yearly" displayName="tbl_yearly" ref="A22:E25" headerRowCount="1">
  <autoFilter ref="A22:E25"/>
  <tableColumns count="5">
    <tableColumn id="1" name="Year"/>
    <tableColumn id="2" name="GMV (R$ M)"/>
    <tableColumn id="3" name="Orders"/>
    <tableColumn id="4" name="Avg Review"/>
    <tableColumn id="5" name="Avg Delivery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revenue" displayName="tbl_revenue" ref="A29:B49" headerRowCount="1">
  <autoFilter ref="A29:B49"/>
  <tableColumns count="2">
    <tableColumn id="1" name="Month"/>
    <tableColumn id="2" name="Revenue (R$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rfm" displayName="tbl_rfm" ref="A53:G59" headerRowCount="1">
  <autoFilter ref="A53:G59"/>
  <tableColumns count="7">
    <tableColumn id="1" name="Segment"/>
    <tableColumn id="2" name="Customers"/>
    <tableColumn id="3" name="Customer %"/>
    <tableColumn id="4" name="Revenue (R$)"/>
    <tableColumn id="5" name="Revenue %"/>
    <tableColumn id="6" name="ARPU (R$)"/>
    <tableColumn id="7" name="Avg Recency (d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_installments" displayName="tbl_installments" ref="A63:E68" headerRowCount="1">
  <autoFilter ref="A63:E68"/>
  <tableColumns count="5">
    <tableColumn id="1" name="Bucket"/>
    <tableColumn id="2" name="Orders"/>
    <tableColumn id="3" name="Avg Ticket (R$)"/>
    <tableColumn id="4" name="Customers"/>
    <tableColumn id="5" name="Repeat Rat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_logistics" displayName="tbl_logistics" ref="A72:D87" headerRowCount="1">
  <autoFilter ref="A72:D87"/>
  <tableColumns count="4">
    <tableColumn id="1" name="State"/>
    <tableColumn id="2" name="Actual days"/>
    <tableColumn id="3" name="Estimated days"/>
    <tableColumn id="4" name="ETA gap (days)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_cohort" displayName="tbl_cohort" ref="A91:N111" headerRowCount="1">
  <autoFilter ref="A91:N111"/>
  <tableColumns count="14">
    <tableColumn id="1" name="Cohort"/>
    <tableColumn id="2" name="M0"/>
    <tableColumn id="3" name="M1"/>
    <tableColumn id="4" name="M2"/>
    <tableColumn id="5" name="M3"/>
    <tableColumn id="6" name="M4"/>
    <tableColumn id="7" name="M5"/>
    <tableColumn id="8" name="M6"/>
    <tableColumn id="9" name="M7"/>
    <tableColumn id="10" name="M8"/>
    <tableColumn id="11" name="M9"/>
    <tableColumn id="12" name="M10"/>
    <tableColumn id="13" name="M11"/>
    <tableColumn id="14" name="M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list-jenho.streamlit.app/" TargetMode="External" Id="rId1"/><Relationship Type="http://schemas.openxmlformats.org/officeDocument/2006/relationships/hyperlink" Target="https://kengkeng44.github.io/olist-project/" TargetMode="External" Id="rId2"/><Relationship Type="http://schemas.openxmlformats.org/officeDocument/2006/relationships/hyperlink" Target="https://public.tableau.com/app/profile/jenho.cheng/viz/2_17739060990590/1?publish=yes" TargetMode="External" Id="rId3"/><Relationship Type="http://schemas.openxmlformats.org/officeDocument/2006/relationships/hyperlink" Target="https://github.com/kengkeng44/olist-project" TargetMode="External" Id="rId4"/><Relationship Type="http://schemas.openxmlformats.org/officeDocument/2006/relationships/hyperlink" Target="https://github.com/kengkeng44/olist-project/blob/master/slides/portfolio.pdf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01_Cover'!A1" TargetMode="External" Id="rId1"/><Relationship Type="http://schemas.openxmlformats.org/officeDocument/2006/relationships/hyperlink" Target="#'02_TOC'!A1" TargetMode="External" Id="rId2"/><Relationship Type="http://schemas.openxmlformats.org/officeDocument/2006/relationships/hyperlink" Target="#'03_Data_Dictionary'!A1" TargetMode="External" Id="rId3"/><Relationship Type="http://schemas.openxmlformats.org/officeDocument/2006/relationships/hyperlink" Target="#'04_Executive_Summary'!A1" TargetMode="External" Id="rId4"/><Relationship Type="http://schemas.openxmlformats.org/officeDocument/2006/relationships/hyperlink" Target="#'05_KPI_Dashboard'!A1" TargetMode="External" Id="rId5"/><Relationship Type="http://schemas.openxmlformats.org/officeDocument/2006/relationships/hyperlink" Target="#'06_Revenue_Trend'!A1" TargetMode="External" Id="rId6"/><Relationship Type="http://schemas.openxmlformats.org/officeDocument/2006/relationships/hyperlink" Target="#'07_RFM_Segments'!A1" TargetMode="External" Id="rId7"/><Relationship Type="http://schemas.openxmlformats.org/officeDocument/2006/relationships/hyperlink" Target="#'08_Cohort_Heatmap'!A1" TargetMode="External" Id="rId8"/><Relationship Type="http://schemas.openxmlformats.org/officeDocument/2006/relationships/hyperlink" Target="#'09_ROI_Calculator'!A1" TargetMode="External" Id="rId9"/><Relationship Type="http://schemas.openxmlformats.org/officeDocument/2006/relationships/hyperlink" Target="#'10_Installments'!A1" TargetMode="External" Id="rId10"/><Relationship Type="http://schemas.openxmlformats.org/officeDocument/2006/relationships/hyperlink" Target="#'11_Logistics'!A1" TargetMode="External" Id="rId11"/><Relationship Type="http://schemas.openxmlformats.org/officeDocument/2006/relationships/hyperlink" Target="#'12_Methodology'!A1" TargetMode="External" Id="rId12"/><Relationship Type="http://schemas.openxmlformats.org/officeDocument/2006/relationships/hyperlink" Target="#'13_Pivot_Analysis'!A1" TargetMode="External" Id="rId13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table" Target="/xl/tables/table6.xml" Id="rId6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9.xml" Id="rId2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0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2.xml" Id="rId2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3.xml" Id="rId2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4.xml" Id="rId1"/><Relationship Type="http://schemas.openxmlformats.org/officeDocument/2006/relationships/table" Target="/xl/tables/table15.xml" Id="rId2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6.xml" Id="rId1"/><Relationship Type="http://schemas.openxmlformats.org/officeDocument/2006/relationships/table" Target="/xl/tables/table17.xml" Id="rId2"/><Relationship Type="http://schemas.openxmlformats.org/officeDocument/2006/relationships/table" Target="/xl/tables/table18.xml" Id="rId3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9.xml" Id="rId1"/><Relationship Type="http://schemas.openxmlformats.org/officeDocument/2006/relationships/table" Target="/xl/tables/table20.xml" Id="rId2"/><Relationship Type="http://schemas.openxmlformats.org/officeDocument/2006/relationships/table" Target="/xl/tables/table21.xml" Id="rId3"/><Relationship Type="http://schemas.openxmlformats.org/officeDocument/2006/relationships/table" Target="/xl/tables/table22.xml" Id="rId4"/><Relationship Type="http://schemas.openxmlformats.org/officeDocument/2006/relationships/table" Target="/xl/tables/table23.xml" Id="rId5"/><Relationship Type="http://schemas.openxmlformats.org/officeDocument/2006/relationships/table" Target="/xl/tables/table24.xml" Id="rId6"/><Relationship Type="http://schemas.openxmlformats.org/officeDocument/2006/relationships/table" Target="/xl/tables/table25.xm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28" customWidth="1" min="3" max="3"/>
    <col width="28" customWidth="1" min="4" max="4"/>
    <col width="28" customWidth="1" min="5" max="5"/>
    <col width="2" customWidth="1" min="6" max="6"/>
  </cols>
  <sheetData>
    <row r="2" ht="40" customHeight="1">
      <c r="B2" s="1" t="inlineStr">
        <is>
          <t>Olist Brazilian E-Commerce</t>
        </is>
      </c>
      <c r="C2" s="2" t="n"/>
      <c r="D2" s="2" t="n"/>
      <c r="E2" s="2" t="n"/>
    </row>
    <row r="3" ht="26" customHeight="1">
      <c r="B3" s="3" t="inlineStr">
        <is>
          <t>End-to-End Customer Analytics — SQL · RFM · Cohort · ROI</t>
        </is>
      </c>
      <c r="C3" s="2" t="n"/>
      <c r="D3" s="2" t="n"/>
      <c r="E3" s="2" t="n"/>
    </row>
    <row r="5">
      <c r="B5" s="4" t="inlineStr">
        <is>
          <t>Author</t>
        </is>
      </c>
      <c r="C5" s="5" t="inlineStr">
        <is>
          <t>Jen-Ho Cheng</t>
        </is>
      </c>
    </row>
    <row r="6">
      <c r="B6" s="4" t="inlineStr">
        <is>
          <t>Role</t>
        </is>
      </c>
      <c r="C6" s="5" t="inlineStr">
        <is>
          <t>Data / Product Analyst — E-commerce</t>
        </is>
      </c>
    </row>
    <row r="7">
      <c r="B7" s="4" t="inlineStr">
        <is>
          <t>Dataset</t>
        </is>
      </c>
      <c r="C7" s="5" t="inlineStr">
        <is>
          <t>Olist (Brazil) · 99,441 orders · 2016–2018</t>
        </is>
      </c>
    </row>
    <row r="9">
      <c r="B9" s="6" t="inlineStr">
        <is>
          <t>THREE HEADLINE FINDINGS</t>
        </is>
      </c>
    </row>
    <row r="11" ht="38" customHeight="1">
      <c r="B11" s="7" t="inlineStr">
        <is>
          <t>R$ 469K</t>
        </is>
      </c>
      <c r="C11" s="8" t="inlineStr">
        <is>
          <t>1.81%</t>
        </is>
      </c>
      <c r="D11" s="9" t="inlineStr">
        <is>
          <t>3.48×</t>
        </is>
      </c>
    </row>
    <row r="12" ht="22" customHeight="1">
      <c r="B12" s="10" t="inlineStr">
        <is>
          <t>Win-back revenue opportunity</t>
        </is>
      </c>
      <c r="C12" s="11" t="inlineStr">
        <is>
          <t>Cross-month repeat rate</t>
        </is>
      </c>
      <c r="D12" s="12" t="inlineStr">
        <is>
          <t>ARPU lift from 7-10 installments</t>
        </is>
      </c>
    </row>
    <row r="13" ht="36" customHeight="1">
      <c r="B13" s="13" t="inlineStr">
        <is>
          <t>21,975 at-risk customers · 9.4× ROI in aggressive scenario</t>
        </is>
      </c>
      <c r="C13" s="13" t="inlineStr">
        <is>
          <t>Platform-level retention failure (vs. 5–15% mature benchmark)</t>
        </is>
      </c>
      <c r="D13" s="13" t="inlineStr">
        <is>
          <t>R$ 334 vs R$ 96 single payment — Brazil's hidden CRM</t>
        </is>
      </c>
    </row>
    <row r="16">
      <c r="B16" s="6" t="inlineStr">
        <is>
          <t>LIVE LINKS</t>
        </is>
      </c>
    </row>
    <row r="17">
      <c r="B17" s="10" t="inlineStr">
        <is>
          <t>Resource</t>
        </is>
      </c>
      <c r="C17" s="10" t="inlineStr">
        <is>
          <t>URL</t>
        </is>
      </c>
      <c r="D17" s="10" t="inlineStr">
        <is>
          <t>What you'll find</t>
        </is>
      </c>
    </row>
    <row r="18">
      <c r="B18" s="14" t="inlineStr">
        <is>
          <t>Streamlit App</t>
        </is>
      </c>
      <c r="C18" s="15" t="inlineStr">
        <is>
          <t>https://olist-jenho.streamlit.app/</t>
        </is>
      </c>
      <c r="D18" s="16" t="inlineStr">
        <is>
          <t>Interactive 5-page dashboard with ROI calculator</t>
        </is>
      </c>
    </row>
    <row r="19">
      <c r="B19" s="14" t="inlineStr">
        <is>
          <t>HTML Dashboard</t>
        </is>
      </c>
      <c r="C19" s="15" t="inlineStr">
        <is>
          <t>https://kengkeng44.github.io/olist-project/</t>
        </is>
      </c>
      <c r="D19" s="16" t="inlineStr">
        <is>
          <t>Static GitHub Pages site</t>
        </is>
      </c>
    </row>
    <row r="20">
      <c r="B20" s="14" t="inlineStr">
        <is>
          <t>Tableau Public</t>
        </is>
      </c>
      <c r="C20" s="15" t="inlineStr">
        <is>
          <t>https://public.tableau.com/app/profile/jenho.cheng/viz/2_17739060990590/1?publish=yes</t>
        </is>
      </c>
      <c r="D20" s="16" t="inlineStr">
        <is>
          <t>Tableau visualization</t>
        </is>
      </c>
    </row>
    <row r="21">
      <c r="B21" s="14" t="inlineStr">
        <is>
          <t>GitHub Repo</t>
        </is>
      </c>
      <c r="C21" s="15" t="inlineStr">
        <is>
          <t>https://github.com/kengkeng44/olist-project</t>
        </is>
      </c>
      <c r="D21" s="16" t="inlineStr">
        <is>
          <t>Full source code + Notebook + SQL</t>
        </is>
      </c>
    </row>
    <row r="22">
      <c r="B22" s="14" t="inlineStr">
        <is>
          <t>Pitch Deck (PDF)</t>
        </is>
      </c>
      <c r="C22" s="15" t="inlineStr">
        <is>
          <t>https://github.com/kengkeng44/olist-project/blob/master/slides/portfolio.pdf</t>
        </is>
      </c>
      <c r="D22" s="16" t="inlineStr">
        <is>
          <t>13-slide PM-style deck</t>
        </is>
      </c>
    </row>
    <row r="25">
      <c r="B25" s="6" t="inlineStr">
        <is>
          <t>TECH STACK</t>
        </is>
      </c>
    </row>
    <row r="26">
      <c r="B26" s="17" t="inlineStr">
        <is>
          <t>Python</t>
        </is>
      </c>
      <c r="C26" s="17" t="inlineStr">
        <is>
          <t>SQLite</t>
        </is>
      </c>
      <c r="D26" s="17" t="inlineStr">
        <is>
          <t>SQL (NTILE Window)</t>
        </is>
      </c>
      <c r="E26" s="17" t="inlineStr">
        <is>
          <t>pandas</t>
        </is>
      </c>
    </row>
    <row r="27">
      <c r="B27" s="17" t="inlineStr">
        <is>
          <t>matplotlib</t>
        </is>
      </c>
      <c r="C27" s="17" t="inlineStr">
        <is>
          <t>Streamlit</t>
        </is>
      </c>
      <c r="D27" s="17" t="inlineStr">
        <is>
          <t>Tableau</t>
        </is>
      </c>
    </row>
  </sheetData>
  <hyperlinks>
    <hyperlink xmlns:r="http://schemas.openxmlformats.org/officeDocument/2006/relationships" ref="C18" r:id="rId1"/>
    <hyperlink xmlns:r="http://schemas.openxmlformats.org/officeDocument/2006/relationships" ref="C19" r:id="rId2"/>
    <hyperlink xmlns:r="http://schemas.openxmlformats.org/officeDocument/2006/relationships" ref="C20" r:id="rId3"/>
    <hyperlink xmlns:r="http://schemas.openxmlformats.org/officeDocument/2006/relationships" ref="C21" r:id="rId4"/>
    <hyperlink xmlns:r="http://schemas.openxmlformats.org/officeDocument/2006/relationships" ref="C2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30" customWidth="1" min="3" max="3"/>
    <col width="56" customWidth="1" min="4" max="4"/>
    <col width="2" customWidth="1" min="5" max="5"/>
  </cols>
  <sheetData>
    <row r="2">
      <c r="B2" s="18" t="inlineStr">
        <is>
          <t>Table of Contents</t>
        </is>
      </c>
      <c r="C2" s="2" t="n"/>
      <c r="D2" s="2" t="n"/>
      <c r="E2" s="2" t="n"/>
    </row>
    <row r="3">
      <c r="B3" s="19" t="inlineStr">
        <is>
          <t>Click any sheet name to jump. All visible sheets are linked from here.</t>
        </is>
      </c>
      <c r="C3" s="2" t="n"/>
      <c r="D3" s="2" t="n"/>
      <c r="E3" s="2" t="n"/>
    </row>
    <row r="5">
      <c r="B5" s="10" t="inlineStr">
        <is>
          <t>#</t>
        </is>
      </c>
      <c r="C5" s="10" t="inlineStr">
        <is>
          <t>Sheet</t>
        </is>
      </c>
      <c r="D5" s="10" t="inlineStr">
        <is>
          <t>What it shows</t>
        </is>
      </c>
    </row>
    <row r="6">
      <c r="B6" s="20" t="inlineStr">
        <is>
          <t>01</t>
        </is>
      </c>
      <c r="C6" s="21" t="inlineStr">
        <is>
          <t>01_Cover</t>
        </is>
      </c>
      <c r="D6" s="16" t="inlineStr">
        <is>
          <t>Headline metrics + live links to all artifacts</t>
        </is>
      </c>
    </row>
    <row r="7">
      <c r="B7" s="20" t="inlineStr">
        <is>
          <t>02</t>
        </is>
      </c>
      <c r="C7" s="21" t="inlineStr">
        <is>
          <t>02_TOC</t>
        </is>
      </c>
      <c r="D7" s="16" t="inlineStr">
        <is>
          <t>This page</t>
        </is>
      </c>
    </row>
    <row r="8">
      <c r="B8" s="20" t="inlineStr">
        <is>
          <t>03</t>
        </is>
      </c>
      <c r="C8" s="21" t="inlineStr">
        <is>
          <t>03_Data_Dictionary</t>
        </is>
      </c>
      <c r="D8" s="16" t="inlineStr">
        <is>
          <t>9-table schema + 3-row sample of the 5 most-joined tables</t>
        </is>
      </c>
    </row>
    <row r="9">
      <c r="B9" s="20" t="inlineStr">
        <is>
          <t>04</t>
        </is>
      </c>
      <c r="C9" s="21" t="inlineStr">
        <is>
          <t>04_Executive_Summary</t>
        </is>
      </c>
      <c r="D9" s="16" t="inlineStr">
        <is>
          <t>60-second brief: question → method → 3 findings → recommendation</t>
        </is>
      </c>
    </row>
    <row r="10">
      <c r="B10" s="20" t="inlineStr">
        <is>
          <t>05</t>
        </is>
      </c>
      <c r="C10" s="21" t="inlineStr">
        <is>
          <t>05_KPI_Dashboard</t>
        </is>
      </c>
      <c r="D10" s="16" t="inlineStr">
        <is>
          <t>Scale, yearly KPIs, status mix, payment mix (formulas → _data_calc)</t>
        </is>
      </c>
    </row>
    <row r="11">
      <c r="B11" s="20" t="inlineStr">
        <is>
          <t>06</t>
        </is>
      </c>
      <c r="C11" s="21" t="inlineStr">
        <is>
          <t>06_Revenue_Trend</t>
        </is>
      </c>
      <c r="D11" s="16" t="inlineStr">
        <is>
          <t>Monthly revenue + line chart (Excel Table)</t>
        </is>
      </c>
    </row>
    <row r="12">
      <c r="B12" s="20" t="inlineStr">
        <is>
          <t>07</t>
        </is>
      </c>
      <c r="C12" s="21" t="inlineStr">
        <is>
          <t>07_RFM_Segments</t>
        </is>
      </c>
      <c r="D12" s="16" t="inlineStr">
        <is>
          <t>RFM with NTILE; Pareto + Champions/At-Risk priority (icon set)</t>
        </is>
      </c>
    </row>
    <row r="13">
      <c r="B13" s="20" t="inlineStr">
        <is>
          <t>08</t>
        </is>
      </c>
      <c r="C13" s="21" t="inlineStr">
        <is>
          <t>08_Cohort_Heatmap</t>
        </is>
      </c>
      <c r="D13" s="16" t="inlineStr">
        <is>
          <t>13-month retention matrix with color scale + frozen pane</t>
        </is>
      </c>
    </row>
    <row r="14">
      <c r="B14" s="20" t="inlineStr">
        <is>
          <t>09</t>
        </is>
      </c>
      <c r="C14" s="21" t="inlineStr">
        <is>
          <t>09_ROI_Calculator</t>
        </is>
      </c>
      <c r="D14" s="16" t="inlineStr">
        <is>
          <t>Live formulas — recall rate slider, scenarios, Named Range inputs</t>
        </is>
      </c>
    </row>
    <row r="15">
      <c r="B15" s="20" t="inlineStr">
        <is>
          <t>10</t>
        </is>
      </c>
      <c r="C15" s="21" t="inlineStr">
        <is>
          <t>10_Installments</t>
        </is>
      </c>
      <c r="D15" s="16" t="inlineStr">
        <is>
          <t>Brazil installment culture — AOV/repeat rate by bucket</t>
        </is>
      </c>
    </row>
    <row r="16">
      <c r="B16" s="20" t="inlineStr">
        <is>
          <t>11</t>
        </is>
      </c>
      <c r="C16" s="21" t="inlineStr">
        <is>
          <t>11_Logistics</t>
        </is>
      </c>
      <c r="D16" s="16" t="inlineStr">
        <is>
          <t>State-level ETA gap with 3-color conditional formatting</t>
        </is>
      </c>
    </row>
    <row r="17">
      <c r="B17" s="20" t="inlineStr">
        <is>
          <t>12</t>
        </is>
      </c>
      <c r="C17" s="21" t="inlineStr">
        <is>
          <t>12_Methodology</t>
        </is>
      </c>
      <c r="D17" s="16" t="inlineStr">
        <is>
          <t>Tech stack, core SQL, NTILE-vs-pandas, caveats, upgrade path</t>
        </is>
      </c>
    </row>
    <row r="18">
      <c r="B18" s="20" t="inlineStr">
        <is>
          <t>13</t>
        </is>
      </c>
      <c r="C18" s="21" t="inlineStr">
        <is>
          <t>13_Pivot_Analysis</t>
        </is>
      </c>
      <c r="D18" s="16" t="inlineStr">
        <is>
          <t>VLOOKUP / INDEX-MATCH / XLOOKUP side-by-side + SUMIFS pivot (state × payment)</t>
        </is>
      </c>
    </row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4" customWidth="1" min="3" max="3"/>
    <col width="4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8" t="inlineStr">
        <is>
          <t>Data Dictionary</t>
        </is>
      </c>
      <c r="C2" s="2" t="n"/>
      <c r="D2" s="2" t="n"/>
      <c r="E2" s="2" t="n"/>
    </row>
    <row r="3">
      <c r="B3" s="19" t="inlineStr">
        <is>
          <t>9 raw tables · 1.55M rows. 3-row sample below; full data on GitHub.</t>
        </is>
      </c>
      <c r="C3" s="2" t="n"/>
      <c r="D3" s="2" t="n"/>
      <c r="E3" s="2" t="n"/>
    </row>
    <row r="5">
      <c r="B5" s="6" t="inlineStr">
        <is>
          <t>9 source tables</t>
        </is>
      </c>
    </row>
    <row r="6">
      <c r="B6" s="10" t="inlineStr">
        <is>
          <t>Table</t>
        </is>
      </c>
      <c r="C6" s="10" t="inlineStr">
        <is>
          <t>Rows</t>
        </is>
      </c>
      <c r="D6" s="10" t="inlineStr">
        <is>
          <t>What's in it</t>
        </is>
      </c>
    </row>
    <row r="7">
      <c r="B7" s="22" t="inlineStr">
        <is>
          <t>olist_orders_dataset</t>
        </is>
      </c>
      <c r="C7" s="23" t="n">
        <v>99441</v>
      </c>
      <c r="D7" s="16" t="inlineStr">
        <is>
          <t>Order header + 8 timestamps (purchase → delivery).</t>
        </is>
      </c>
    </row>
    <row r="8">
      <c r="B8" s="22" t="inlineStr">
        <is>
          <t>olist_customers_dataset</t>
        </is>
      </c>
      <c r="C8" s="23" t="n">
        <v>99441</v>
      </c>
      <c r="D8" s="16" t="inlineStr">
        <is>
          <t>customer_id (per order) + customer_unique_id + ZIP.</t>
        </is>
      </c>
    </row>
    <row r="9">
      <c r="B9" s="22" t="inlineStr">
        <is>
          <t>olist_order_items_dataset</t>
        </is>
      </c>
      <c r="C9" s="23" t="n">
        <v>112650</v>
      </c>
      <c r="D9" s="16" t="inlineStr">
        <is>
          <t>Line items: 1 row per (order, product, seller) with price + freight.</t>
        </is>
      </c>
    </row>
    <row r="10">
      <c r="B10" s="22" t="inlineStr">
        <is>
          <t>olist_order_payments_dataset</t>
        </is>
      </c>
      <c r="C10" s="23" t="n">
        <v>103886</v>
      </c>
      <c r="D10" s="16" t="inlineStr">
        <is>
          <t>Payment type (boleto / credit_card / voucher / debit_card) + installments.</t>
        </is>
      </c>
    </row>
    <row r="11">
      <c r="B11" s="22" t="inlineStr">
        <is>
          <t>olist_order_reviews_dataset</t>
        </is>
      </c>
      <c r="C11" s="23" t="n">
        <v>104719</v>
      </c>
      <c r="D11" s="16" t="inlineStr">
        <is>
          <t>1-5 star reviews + comment text.</t>
        </is>
      </c>
    </row>
    <row r="12">
      <c r="B12" s="22" t="inlineStr">
        <is>
          <t>olist_products_dataset</t>
        </is>
      </c>
      <c r="C12" s="23" t="n">
        <v>32951</v>
      </c>
      <c r="D12" s="16" t="inlineStr">
        <is>
          <t>Product attributes (category, weight, dimensions).</t>
        </is>
      </c>
    </row>
    <row r="13">
      <c r="B13" s="22" t="inlineStr">
        <is>
          <t>olist_sellers_dataset</t>
        </is>
      </c>
      <c r="C13" s="23" t="n">
        <v>3095</v>
      </c>
      <c r="D13" s="16" t="inlineStr">
        <is>
          <t>Seller ZIP + state.</t>
        </is>
      </c>
    </row>
    <row r="14">
      <c r="B14" s="22" t="inlineStr">
        <is>
          <t>olist_geolocation_dataset</t>
        </is>
      </c>
      <c r="C14" s="23" t="n">
        <v>1000163</v>
      </c>
      <c r="D14" s="16" t="inlineStr">
        <is>
          <t>ZIP-level lat/lng (state-level aggregations only).</t>
        </is>
      </c>
    </row>
    <row r="15">
      <c r="B15" s="22" t="inlineStr">
        <is>
          <t>product_category_name_translation</t>
        </is>
      </c>
      <c r="C15" s="23" t="n">
        <v>71</v>
      </c>
      <c r="D15" s="16" t="inlineStr">
        <is>
          <t>PT-&gt;EN mapping for the 71 product categories.</t>
        </is>
      </c>
    </row>
    <row r="18">
      <c r="B18" s="6" t="inlineStr">
        <is>
          <t>olist_orders_dataset.csv — first 3 rows</t>
        </is>
      </c>
    </row>
    <row r="19">
      <c r="B19" s="10" t="inlineStr">
        <is>
          <t>order_id</t>
        </is>
      </c>
      <c r="C19" s="10" t="inlineStr">
        <is>
          <t>customer_id</t>
        </is>
      </c>
      <c r="D19" s="10" t="inlineStr">
        <is>
          <t>order_status</t>
        </is>
      </c>
      <c r="E19" s="10" t="inlineStr">
        <is>
          <t>order_purchase_timestamp</t>
        </is>
      </c>
      <c r="F19" s="10" t="inlineStr">
        <is>
          <t>order_approved_at</t>
        </is>
      </c>
      <c r="G19" s="10" t="inlineStr">
        <is>
          <t>order_delivered_carrier_date</t>
        </is>
      </c>
      <c r="H19" s="10" t="inlineStr">
        <is>
          <t>order_delivered_customer_date</t>
        </is>
      </c>
      <c r="I19" s="10" t="inlineStr">
        <is>
          <t>order_estimated_delivery_date</t>
        </is>
      </c>
    </row>
    <row r="20">
      <c r="B20" s="24" t="inlineStr">
        <is>
          <t>e481f51cbdc54678b7cc49136f2d6af7</t>
        </is>
      </c>
      <c r="C20" s="24" t="inlineStr">
        <is>
          <t>9ef432eb6251297304e76186b10a928d</t>
        </is>
      </c>
      <c r="D20" s="24" t="inlineStr">
        <is>
          <t>delivered</t>
        </is>
      </c>
      <c r="E20" s="24" t="inlineStr">
        <is>
          <t>2017-10-02 10:56:33</t>
        </is>
      </c>
      <c r="F20" s="24" t="inlineStr">
        <is>
          <t>2017-10-02 11:07:15</t>
        </is>
      </c>
      <c r="G20" s="24" t="inlineStr">
        <is>
          <t>2017-10-04 19:55:00</t>
        </is>
      </c>
      <c r="H20" s="24" t="inlineStr">
        <is>
          <t>2017-10-10 21:25:13</t>
        </is>
      </c>
      <c r="I20" s="24" t="inlineStr">
        <is>
          <t>2017-10-18 00:00:00</t>
        </is>
      </c>
    </row>
    <row r="21">
      <c r="B21" s="24" t="inlineStr">
        <is>
          <t>53cdb2fc8bc7dce0b6741e2150273451</t>
        </is>
      </c>
      <c r="C21" s="24" t="inlineStr">
        <is>
          <t>b0830fb4747a6c6d20dea0b8c802d7ef</t>
        </is>
      </c>
      <c r="D21" s="24" t="inlineStr">
        <is>
          <t>delivered</t>
        </is>
      </c>
      <c r="E21" s="24" t="inlineStr">
        <is>
          <t>2018-07-24 20:41:37</t>
        </is>
      </c>
      <c r="F21" s="24" t="inlineStr">
        <is>
          <t>2018-07-26 03:24:27</t>
        </is>
      </c>
      <c r="G21" s="24" t="inlineStr">
        <is>
          <t>2018-07-26 14:31:00</t>
        </is>
      </c>
      <c r="H21" s="24" t="inlineStr">
        <is>
          <t>2018-08-07 15:27:45</t>
        </is>
      </c>
      <c r="I21" s="24" t="inlineStr">
        <is>
          <t>2018-08-13 00:00:00</t>
        </is>
      </c>
    </row>
    <row r="22">
      <c r="B22" s="24" t="inlineStr">
        <is>
          <t>47770eb9100c2d0c44946d9cf07ec65d</t>
        </is>
      </c>
      <c r="C22" s="24" t="inlineStr">
        <is>
          <t>41ce2a54c0b03bf3443c3d931a367089</t>
        </is>
      </c>
      <c r="D22" s="24" t="inlineStr">
        <is>
          <t>delivered</t>
        </is>
      </c>
      <c r="E22" s="24" t="inlineStr">
        <is>
          <t>2018-08-08 08:38:49</t>
        </is>
      </c>
      <c r="F22" s="24" t="inlineStr">
        <is>
          <t>2018-08-08 08:55:23</t>
        </is>
      </c>
      <c r="G22" s="24" t="inlineStr">
        <is>
          <t>2018-08-08 13:50:00</t>
        </is>
      </c>
      <c r="H22" s="24" t="inlineStr">
        <is>
          <t>2018-08-17 18:06:29</t>
        </is>
      </c>
      <c r="I22" s="24" t="inlineStr">
        <is>
          <t>2018-09-04 00:00:00</t>
        </is>
      </c>
    </row>
    <row r="24">
      <c r="B24" s="6" t="inlineStr">
        <is>
          <t>olist_customers_dataset.csv — first 3 rows</t>
        </is>
      </c>
    </row>
    <row r="25">
      <c r="B25" s="10" t="inlineStr">
        <is>
          <t>customer_id</t>
        </is>
      </c>
      <c r="C25" s="10" t="inlineStr">
        <is>
          <t>customer_unique_id</t>
        </is>
      </c>
      <c r="D25" s="10" t="inlineStr">
        <is>
          <t>customer_zip_code_prefix</t>
        </is>
      </c>
      <c r="E25" s="10" t="inlineStr">
        <is>
          <t>customer_city</t>
        </is>
      </c>
      <c r="F25" s="10" t="inlineStr">
        <is>
          <t>customer_state</t>
        </is>
      </c>
    </row>
    <row r="26">
      <c r="B26" s="24" t="inlineStr">
        <is>
          <t>06b8999e2fba1a1fbc88172c00ba8bc7</t>
        </is>
      </c>
      <c r="C26" s="24" t="inlineStr">
        <is>
          <t>861eff4711a542e4b93843c6dd7febb0</t>
        </is>
      </c>
      <c r="D26" s="24" t="inlineStr">
        <is>
          <t>14409</t>
        </is>
      </c>
      <c r="E26" s="24" t="inlineStr">
        <is>
          <t>franca</t>
        </is>
      </c>
      <c r="F26" s="24" t="inlineStr">
        <is>
          <t>SP</t>
        </is>
      </c>
    </row>
    <row r="27">
      <c r="B27" s="24" t="inlineStr">
        <is>
          <t>18955e83d337fd6b2def6b18a428ac77</t>
        </is>
      </c>
      <c r="C27" s="24" t="inlineStr">
        <is>
          <t>290c77bc529b7ac935b93aa66c333dc3</t>
        </is>
      </c>
      <c r="D27" s="24" t="inlineStr">
        <is>
          <t>09790</t>
        </is>
      </c>
      <c r="E27" s="24" t="inlineStr">
        <is>
          <t>sao bernardo do campo</t>
        </is>
      </c>
      <c r="F27" s="24" t="inlineStr">
        <is>
          <t>SP</t>
        </is>
      </c>
    </row>
    <row r="28">
      <c r="B28" s="24" t="inlineStr">
        <is>
          <t>4e7b3e00288586ebd08712fdd0374a03</t>
        </is>
      </c>
      <c r="C28" s="24" t="inlineStr">
        <is>
          <t>060e732b5b29e8181a18229c7b0b2b5e</t>
        </is>
      </c>
      <c r="D28" s="24" t="inlineStr">
        <is>
          <t>01151</t>
        </is>
      </c>
      <c r="E28" s="24" t="inlineStr">
        <is>
          <t>sao paulo</t>
        </is>
      </c>
      <c r="F28" s="24" t="inlineStr">
        <is>
          <t>SP</t>
        </is>
      </c>
    </row>
    <row r="30">
      <c r="B30" s="6" t="inlineStr">
        <is>
          <t>olist_order_items_dataset.csv — first 3 rows</t>
        </is>
      </c>
    </row>
    <row r="31">
      <c r="B31" s="10" t="inlineStr">
        <is>
          <t>order_id</t>
        </is>
      </c>
      <c r="C31" s="10" t="inlineStr">
        <is>
          <t>order_item_id</t>
        </is>
      </c>
      <c r="D31" s="10" t="inlineStr">
        <is>
          <t>product_id</t>
        </is>
      </c>
      <c r="E31" s="10" t="inlineStr">
        <is>
          <t>seller_id</t>
        </is>
      </c>
      <c r="F31" s="10" t="inlineStr">
        <is>
          <t>shipping_limit_date</t>
        </is>
      </c>
      <c r="G31" s="10" t="inlineStr">
        <is>
          <t>price</t>
        </is>
      </c>
      <c r="H31" s="10" t="inlineStr">
        <is>
          <t>freight_value</t>
        </is>
      </c>
    </row>
    <row r="32">
      <c r="B32" s="24" t="inlineStr">
        <is>
          <t>00010242fe8c5a6d1ba2dd792cb16214</t>
        </is>
      </c>
      <c r="C32" s="24" t="inlineStr">
        <is>
          <t>1</t>
        </is>
      </c>
      <c r="D32" s="24" t="inlineStr">
        <is>
          <t>4244733e06e7ecb4970a6e2683c13e61</t>
        </is>
      </c>
      <c r="E32" s="24" t="inlineStr">
        <is>
          <t>48436dade18ac8b2bce089ec2a041202</t>
        </is>
      </c>
      <c r="F32" s="24" t="inlineStr">
        <is>
          <t>2017-09-19 09:45:35</t>
        </is>
      </c>
      <c r="G32" s="24" t="inlineStr">
        <is>
          <t>58.90</t>
        </is>
      </c>
      <c r="H32" s="24" t="inlineStr">
        <is>
          <t>13.29</t>
        </is>
      </c>
    </row>
    <row r="33">
      <c r="B33" s="24" t="inlineStr">
        <is>
          <t>00018f77f2f0320c557190d7a144bdd3</t>
        </is>
      </c>
      <c r="C33" s="24" t="inlineStr">
        <is>
          <t>1</t>
        </is>
      </c>
      <c r="D33" s="24" t="inlineStr">
        <is>
          <t>e5f2d52b802189ee658865ca93d83a8f</t>
        </is>
      </c>
      <c r="E33" s="24" t="inlineStr">
        <is>
          <t>dd7ddc04e1b6c2c614352b383efe2d36</t>
        </is>
      </c>
      <c r="F33" s="24" t="inlineStr">
        <is>
          <t>2017-05-03 11:05:13</t>
        </is>
      </c>
      <c r="G33" s="24" t="inlineStr">
        <is>
          <t>239.90</t>
        </is>
      </c>
      <c r="H33" s="24" t="inlineStr">
        <is>
          <t>19.93</t>
        </is>
      </c>
    </row>
    <row r="34">
      <c r="B34" s="24" t="inlineStr">
        <is>
          <t>000229ec398224ef6ca0657da4fc703e</t>
        </is>
      </c>
      <c r="C34" s="24" t="inlineStr">
        <is>
          <t>1</t>
        </is>
      </c>
      <c r="D34" s="24" t="inlineStr">
        <is>
          <t>c777355d18b72b67abbeef9df44fd0fd</t>
        </is>
      </c>
      <c r="E34" s="24" t="inlineStr">
        <is>
          <t>5b51032eddd242adc84c38acab88f23d</t>
        </is>
      </c>
      <c r="F34" s="24" t="inlineStr">
        <is>
          <t>2018-01-18 14:48:30</t>
        </is>
      </c>
      <c r="G34" s="24" t="inlineStr">
        <is>
          <t>199.00</t>
        </is>
      </c>
      <c r="H34" s="24" t="inlineStr">
        <is>
          <t>17.87</t>
        </is>
      </c>
    </row>
    <row r="36">
      <c r="B36" s="6" t="inlineStr">
        <is>
          <t>olist_order_payments_dataset.csv — first 3 rows</t>
        </is>
      </c>
    </row>
    <row r="37">
      <c r="B37" s="10" t="inlineStr">
        <is>
          <t>order_id</t>
        </is>
      </c>
      <c r="C37" s="10" t="inlineStr">
        <is>
          <t>payment_sequential</t>
        </is>
      </c>
      <c r="D37" s="10" t="inlineStr">
        <is>
          <t>payment_type</t>
        </is>
      </c>
      <c r="E37" s="10" t="inlineStr">
        <is>
          <t>payment_installments</t>
        </is>
      </c>
      <c r="F37" s="10" t="inlineStr">
        <is>
          <t>payment_value</t>
        </is>
      </c>
    </row>
    <row r="38">
      <c r="B38" s="24" t="inlineStr">
        <is>
          <t>b81ef226f3fe1789b1e8b2acac839d17</t>
        </is>
      </c>
      <c r="C38" s="24" t="inlineStr">
        <is>
          <t>1</t>
        </is>
      </c>
      <c r="D38" s="24" t="inlineStr">
        <is>
          <t>credit_card</t>
        </is>
      </c>
      <c r="E38" s="24" t="inlineStr">
        <is>
          <t>8</t>
        </is>
      </c>
      <c r="F38" s="24" t="inlineStr">
        <is>
          <t>99.33</t>
        </is>
      </c>
    </row>
    <row r="39">
      <c r="B39" s="24" t="inlineStr">
        <is>
          <t>a9810da82917af2d9aefd1278f1dcfa0</t>
        </is>
      </c>
      <c r="C39" s="24" t="inlineStr">
        <is>
          <t>1</t>
        </is>
      </c>
      <c r="D39" s="24" t="inlineStr">
        <is>
          <t>credit_card</t>
        </is>
      </c>
      <c r="E39" s="24" t="inlineStr">
        <is>
          <t>1</t>
        </is>
      </c>
      <c r="F39" s="24" t="inlineStr">
        <is>
          <t>24.39</t>
        </is>
      </c>
    </row>
    <row r="40">
      <c r="B40" s="24" t="inlineStr">
        <is>
          <t>25e8ea4e93396b6fa0d3dd708e76c1bd</t>
        </is>
      </c>
      <c r="C40" s="24" t="inlineStr">
        <is>
          <t>1</t>
        </is>
      </c>
      <c r="D40" s="24" t="inlineStr">
        <is>
          <t>credit_card</t>
        </is>
      </c>
      <c r="E40" s="24" t="inlineStr">
        <is>
          <t>1</t>
        </is>
      </c>
      <c r="F40" s="24" t="inlineStr">
        <is>
          <t>65.71</t>
        </is>
      </c>
    </row>
    <row r="42">
      <c r="B42" s="6" t="inlineStr">
        <is>
          <t>olist_order_reviews_dataset.csv — first 3 rows</t>
        </is>
      </c>
    </row>
    <row r="43">
      <c r="B43" s="10" t="inlineStr">
        <is>
          <t>review_id</t>
        </is>
      </c>
      <c r="C43" s="10" t="inlineStr">
        <is>
          <t>order_id</t>
        </is>
      </c>
      <c r="D43" s="10" t="inlineStr">
        <is>
          <t>review_score</t>
        </is>
      </c>
      <c r="E43" s="10" t="inlineStr">
        <is>
          <t>review_comment_title</t>
        </is>
      </c>
      <c r="F43" s="10" t="inlineStr">
        <is>
          <t>review_comment_message</t>
        </is>
      </c>
      <c r="G43" s="10" t="inlineStr">
        <is>
          <t>review_creation_date</t>
        </is>
      </c>
      <c r="H43" s="10" t="inlineStr">
        <is>
          <t>review_answer_timestamp</t>
        </is>
      </c>
    </row>
    <row r="44">
      <c r="B44" s="24" t="inlineStr">
        <is>
          <t>7bc2406110b926393aa56f80a40eba40</t>
        </is>
      </c>
      <c r="C44" s="24" t="inlineStr">
        <is>
          <t>73fc7af87114b39712e6da79b0a377eb</t>
        </is>
      </c>
      <c r="D44" s="24" t="inlineStr">
        <is>
          <t>4</t>
        </is>
      </c>
      <c r="E44" s="24" t="inlineStr"/>
      <c r="F44" s="24" t="inlineStr"/>
      <c r="G44" s="24" t="inlineStr">
        <is>
          <t>2018-01-18 00:00:00</t>
        </is>
      </c>
      <c r="H44" s="24" t="inlineStr">
        <is>
          <t>2018-01-18 21:46:59</t>
        </is>
      </c>
    </row>
    <row r="45">
      <c r="B45" s="24" t="inlineStr">
        <is>
          <t>80e641a11e56f04c1ad469d5645fdfde</t>
        </is>
      </c>
      <c r="C45" s="24" t="inlineStr">
        <is>
          <t>a548910a1c6147796b98fdf73dbeba33</t>
        </is>
      </c>
      <c r="D45" s="24" t="inlineStr">
        <is>
          <t>5</t>
        </is>
      </c>
      <c r="E45" s="24" t="inlineStr"/>
      <c r="F45" s="24" t="inlineStr"/>
      <c r="G45" s="24" t="inlineStr">
        <is>
          <t>2018-03-10 00:00:00</t>
        </is>
      </c>
      <c r="H45" s="24" t="inlineStr">
        <is>
          <t>2018-03-11 03:05:13</t>
        </is>
      </c>
    </row>
    <row r="46">
      <c r="B46" s="24" t="inlineStr">
        <is>
          <t>228ce5500dc1d8e020d8d1322874b6f0</t>
        </is>
      </c>
      <c r="C46" s="24" t="inlineStr">
        <is>
          <t>f9e4b658b201a9f2ecdecbb34bed034b</t>
        </is>
      </c>
      <c r="D46" s="24" t="inlineStr">
        <is>
          <t>5</t>
        </is>
      </c>
      <c r="E46" s="24" t="inlineStr"/>
      <c r="F46" s="24" t="inlineStr"/>
      <c r="G46" s="24" t="inlineStr">
        <is>
          <t>2018-02-17 00:00:00</t>
        </is>
      </c>
      <c r="H46" s="24" t="inlineStr">
        <is>
          <t>2018-02-18 14:36:24</t>
        </is>
      </c>
    </row>
  </sheetData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60" customWidth="1" min="3" max="3"/>
    <col width="2" customWidth="1" min="4" max="4"/>
  </cols>
  <sheetData>
    <row r="2">
      <c r="B2" s="18" t="inlineStr">
        <is>
          <t>Executive Summary</t>
        </is>
      </c>
      <c r="C2" s="2" t="n"/>
    </row>
    <row r="3">
      <c r="B3" s="19" t="inlineStr">
        <is>
          <t>One-page brief for hiring managers — read in 60 seconds</t>
        </is>
      </c>
      <c r="C3" s="2" t="n"/>
    </row>
    <row r="5" ht="56" customHeight="1">
      <c r="B5" s="10" t="inlineStr">
        <is>
          <t>Question</t>
        </is>
      </c>
      <c r="C5" s="25" t="inlineStr">
        <is>
          <t>Brazil's largest SMB marketplace (Olist, 12,000+ sellers) released 99K orders 2016–2018. Where can the platform unlock the biggest revenue lever next quarter?</t>
        </is>
      </c>
    </row>
    <row r="6" ht="56" customHeight="1">
      <c r="B6" s="10" t="inlineStr">
        <is>
          <t>Method</t>
        </is>
      </c>
      <c r="C6" s="25" t="inlineStr">
        <is>
          <t>9-table SQLite schema · SQL Window Functions (NTILE) for RFM scoring · Cohort retention · Installment-bucket analysis · Quantified ROI scenarios.</t>
        </is>
      </c>
    </row>
    <row r="7" ht="56" customHeight="1">
      <c r="B7" s="11" t="inlineStr">
        <is>
          <t>Finding 1 — Pareto</t>
        </is>
      </c>
      <c r="C7" s="25" t="inlineStr">
        <is>
          <t>Champions (16% of customers) + At-Risk (24%) drive 67% of revenue. Marketing spend should consolidate here, not chase the long tail.</t>
        </is>
      </c>
    </row>
    <row r="8" ht="56" customHeight="1">
      <c r="B8" s="11" t="inlineStr">
        <is>
          <t>Finding 2 — Retention crisis</t>
        </is>
      </c>
      <c r="C8" s="25" t="inlineStr">
        <is>
          <t>Cross-month repeat rate is 1.81%. Cohort heatmap shows M1 at 0.2–0.7%. Olist is acquisition-driven, not retention-driven — biggest leverage is win-back, not new acquisition.</t>
        </is>
      </c>
    </row>
    <row r="9" ht="56" customHeight="1">
      <c r="B9" s="11" t="inlineStr">
        <is>
          <t>Finding 3 — Installments = hidden CRM</t>
        </is>
      </c>
      <c r="C9" s="25" t="inlineStr">
        <is>
          <t>Customers paying in 7–10 installments have 3.48× ARPU and 65% higher repeat rate than single-payment buyers. Installment plans are an under-leveraged retention mechanism.</t>
        </is>
      </c>
    </row>
    <row r="10" ht="56" customHeight="1">
      <c r="B10" s="12" t="inlineStr">
        <is>
          <t>Recommendation</t>
        </is>
      </c>
      <c r="C10" s="25" t="inlineStr">
        <is>
          <t>Launch personalized win-back EDM to 21,975 At-Risk customers (cost ≈ R$ 50K). Conservative 5% recall = R$ 117K incremental revenue (2.3× ROI). Aggressive 20% = R$ 469K (9.4× ROI).</t>
        </is>
      </c>
    </row>
    <row r="11" ht="56" customHeight="1">
      <c r="B11" s="12" t="inlineStr">
        <is>
          <t>Decision artifact</t>
        </is>
      </c>
      <c r="C11" s="25" t="inlineStr">
        <is>
          <t>PRD-style proposal in proposals/recall_campaign_prd.md — includes timeline, cross-team RACI, A/B design, kill criteria. See sheet 09_ROI_Calculator for the live ROI calculator.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2" customWidth="1" min="7" max="7"/>
  </cols>
  <sheetData>
    <row r="2">
      <c r="B2" s="18" t="inlineStr">
        <is>
          <t>Data Overview &amp; KPIs</t>
        </is>
      </c>
      <c r="C2" s="2" t="n"/>
      <c r="D2" s="2" t="n"/>
      <c r="E2" s="2" t="n"/>
      <c r="F2" s="2" t="n"/>
    </row>
    <row r="3">
      <c r="B3" s="19" t="inlineStr">
        <is>
          <t>All values pulled from _data_calc via XLOOKUP. Update once → updates everywhere.</t>
        </is>
      </c>
      <c r="C3" s="2" t="n"/>
      <c r="D3" s="2" t="n"/>
      <c r="E3" s="2" t="n"/>
      <c r="F3" s="2" t="n"/>
    </row>
    <row r="5">
      <c r="B5" s="6" t="inlineStr">
        <is>
          <t>Scale &amp; Coverage</t>
        </is>
      </c>
    </row>
    <row r="6">
      <c r="B6" s="10" t="inlineStr">
        <is>
          <t>Metric</t>
        </is>
      </c>
      <c r="C6" s="10" t="inlineStr">
        <is>
          <t>Value</t>
        </is>
      </c>
    </row>
    <row r="7">
      <c r="B7" s="26" t="inlineStr">
        <is>
          <t>Total orders</t>
        </is>
      </c>
      <c r="C7" s="27">
        <f>_xlfn.XLOOKUP("Total orders",_data_calc!$A$3:$A$18,_data_calc!$B$3:$B$18)</f>
        <v/>
      </c>
    </row>
    <row r="8">
      <c r="B8" s="26" t="inlineStr">
        <is>
          <t>Unique customers</t>
        </is>
      </c>
      <c r="C8" s="27">
        <f>_xlfn.XLOOKUP("Unique customers",_data_calc!$A$3:$A$18,_data_calc!$B$3:$B$18)</f>
        <v/>
      </c>
    </row>
    <row r="9">
      <c r="B9" s="26" t="inlineStr">
        <is>
          <t>Sellers</t>
        </is>
      </c>
      <c r="C9" s="27">
        <f>_xlfn.XLOOKUP("Sellers",_data_calc!$A$3:$A$18,_data_calc!$B$3:$B$18)</f>
        <v/>
      </c>
    </row>
    <row r="10">
      <c r="B10" s="26" t="inlineStr">
        <is>
          <t>Products</t>
        </is>
      </c>
      <c r="C10" s="27">
        <f>_xlfn.XLOOKUP("Products",_data_calc!$A$3:$A$18,_data_calc!$B$3:$B$18)</f>
        <v/>
      </c>
    </row>
    <row r="11">
      <c r="B11" s="26" t="inlineStr">
        <is>
          <t>Product categories</t>
        </is>
      </c>
      <c r="C11" s="27">
        <f>_xlfn.XLOOKUP("Product categories",_data_calc!$A$3:$A$18,_data_calc!$B$3:$B$18)</f>
        <v/>
      </c>
    </row>
    <row r="12">
      <c r="B12" s="26" t="inlineStr">
        <is>
          <t>States covered</t>
        </is>
      </c>
      <c r="C12" s="28">
        <f>_xlfn.XLOOKUP("States covered",_data_calc!$A$3:$A$18,_data_calc!$B$3:$B$18)</f>
        <v/>
      </c>
    </row>
    <row r="13">
      <c r="B13" s="26" t="inlineStr">
        <is>
          <t>Cities covered</t>
        </is>
      </c>
      <c r="C13" s="27">
        <f>_xlfn.XLOOKUP("Cities covered",_data_calc!$A$3:$A$18,_data_calc!$B$3:$B$18)</f>
        <v/>
      </c>
    </row>
    <row r="14">
      <c r="B14" s="26" t="inlineStr">
        <is>
          <t>Total GMV (R$)</t>
        </is>
      </c>
      <c r="C14" s="27">
        <f>_xlfn.XLOOKUP("Total GMV (R$)",_data_calc!$A$3:$A$18,_data_calc!$B$3:$B$18)</f>
        <v/>
      </c>
    </row>
    <row r="15">
      <c r="B15" s="26" t="inlineStr">
        <is>
          <t>AOV (R$)</t>
        </is>
      </c>
      <c r="C15" s="29">
        <f>_xlfn.XLOOKUP("AOV (R$)",_data_calc!$A$3:$A$18,_data_calc!$B$3:$B$18)</f>
        <v/>
      </c>
    </row>
    <row r="16">
      <c r="B16" s="30" t="inlineStr">
        <is>
          <t>Caveat: 2018 data is truncated at 2018-10. Apparent post-Sep dip = data cutoff, not real decline.</t>
        </is>
      </c>
    </row>
    <row r="19">
      <c r="B19" s="6" t="inlineStr">
        <is>
          <t>Year-over-Year KPIs</t>
        </is>
      </c>
    </row>
    <row r="20">
      <c r="B20" s="10" t="inlineStr">
        <is>
          <t>Year</t>
        </is>
      </c>
      <c r="C20" s="10" t="inlineStr">
        <is>
          <t>GMV (R$ M)</t>
        </is>
      </c>
      <c r="D20" s="10" t="inlineStr">
        <is>
          <t>Orders</t>
        </is>
      </c>
      <c r="E20" s="10" t="inlineStr">
        <is>
          <t>Avg Review</t>
        </is>
      </c>
      <c r="F20" s="10" t="inlineStr">
        <is>
          <t>Avg Delivery (days)</t>
        </is>
      </c>
    </row>
    <row r="21">
      <c r="B21" s="16">
        <f>_data_calc!A23</f>
        <v/>
      </c>
      <c r="C21" s="31">
        <f>_data_calc!B23</f>
        <v/>
      </c>
      <c r="D21" s="32">
        <f>_data_calc!C23</f>
        <v/>
      </c>
      <c r="E21" s="31">
        <f>_data_calc!D23</f>
        <v/>
      </c>
      <c r="F21" s="31">
        <f>_data_calc!E23</f>
        <v/>
      </c>
    </row>
    <row r="22">
      <c r="B22" s="16">
        <f>_data_calc!A24</f>
        <v/>
      </c>
      <c r="C22" s="31">
        <f>_data_calc!B24</f>
        <v/>
      </c>
      <c r="D22" s="32">
        <f>_data_calc!C24</f>
        <v/>
      </c>
      <c r="E22" s="31">
        <f>_data_calc!D24</f>
        <v/>
      </c>
      <c r="F22" s="31">
        <f>_data_calc!E24</f>
        <v/>
      </c>
    </row>
    <row r="23">
      <c r="B23" s="16">
        <f>_data_calc!A25</f>
        <v/>
      </c>
      <c r="C23" s="31">
        <f>_data_calc!B25</f>
        <v/>
      </c>
      <c r="D23" s="32">
        <f>_data_calc!C25</f>
        <v/>
      </c>
      <c r="E23" s="31">
        <f>_data_calc!D25</f>
        <v/>
      </c>
      <c r="F23" s="31">
        <f>_data_calc!E25</f>
        <v/>
      </c>
    </row>
    <row r="26">
      <c r="B26" s="6" t="inlineStr">
        <is>
          <t>Order Status Distribution</t>
        </is>
      </c>
    </row>
    <row r="27">
      <c r="B27" s="10" t="inlineStr">
        <is>
          <t>Status</t>
        </is>
      </c>
      <c r="C27" s="10" t="inlineStr">
        <is>
          <t>Orders</t>
        </is>
      </c>
      <c r="D27" s="10" t="inlineStr">
        <is>
          <t>Share %</t>
        </is>
      </c>
    </row>
    <row r="28">
      <c r="B28" s="33" t="inlineStr">
        <is>
          <t>delivered</t>
        </is>
      </c>
      <c r="C28" s="23" t="n">
        <v>96478</v>
      </c>
      <c r="D28" s="34" t="n">
        <v>0.97</v>
      </c>
    </row>
    <row r="29">
      <c r="B29" s="33" t="inlineStr">
        <is>
          <t>shipped</t>
        </is>
      </c>
      <c r="C29" s="23" t="n">
        <v>1107</v>
      </c>
      <c r="D29" s="34" t="n">
        <v>0.011</v>
      </c>
    </row>
    <row r="30">
      <c r="B30" s="33" t="inlineStr">
        <is>
          <t>canceled</t>
        </is>
      </c>
      <c r="C30" s="23" t="n">
        <v>625</v>
      </c>
      <c r="D30" s="34" t="n">
        <v>0.006</v>
      </c>
    </row>
    <row r="31">
      <c r="B31" s="33" t="inlineStr">
        <is>
          <t>unavailable</t>
        </is>
      </c>
      <c r="C31" s="23" t="n">
        <v>609</v>
      </c>
      <c r="D31" s="34" t="n">
        <v>0.006</v>
      </c>
    </row>
    <row r="32">
      <c r="B32" s="33" t="inlineStr">
        <is>
          <t>other</t>
        </is>
      </c>
      <c r="C32" s="23" t="n">
        <v>622</v>
      </c>
      <c r="D32" s="34" t="n">
        <v>0.006</v>
      </c>
    </row>
    <row r="35">
      <c r="B35" s="6" t="inlineStr">
        <is>
          <t>Payment Mix (Brazil-specific)</t>
        </is>
      </c>
    </row>
    <row r="36">
      <c r="B36" s="10" t="inlineStr">
        <is>
          <t>Payment type</t>
        </is>
      </c>
      <c r="C36" s="10" t="inlineStr">
        <is>
          <t>Orders</t>
        </is>
      </c>
      <c r="D36" s="10" t="inlineStr">
        <is>
          <t>Share %</t>
        </is>
      </c>
      <c r="E36" s="10" t="inlineStr">
        <is>
          <t>Avg installments</t>
        </is>
      </c>
    </row>
    <row r="37">
      <c r="B37" s="33" t="inlineStr">
        <is>
          <t>credit_card</t>
        </is>
      </c>
      <c r="C37" s="23" t="n">
        <v>76795</v>
      </c>
      <c r="D37" s="34" t="n">
        <v>0.739</v>
      </c>
      <c r="E37" s="35" t="n">
        <v>3.5</v>
      </c>
    </row>
    <row r="38">
      <c r="B38" s="33" t="inlineStr">
        <is>
          <t>boleto</t>
        </is>
      </c>
      <c r="C38" s="23" t="n">
        <v>19784</v>
      </c>
      <c r="D38" s="34" t="n">
        <v>0.19</v>
      </c>
      <c r="E38" s="35" t="n">
        <v>1</v>
      </c>
    </row>
    <row r="39">
      <c r="B39" s="33" t="inlineStr">
        <is>
          <t>voucher</t>
        </is>
      </c>
      <c r="C39" s="23" t="n">
        <v>5775</v>
      </c>
      <c r="D39" s="34" t="n">
        <v>0.056</v>
      </c>
      <c r="E39" s="35" t="n">
        <v>1</v>
      </c>
    </row>
    <row r="40">
      <c r="B40" s="33" t="inlineStr">
        <is>
          <t>debit_card</t>
        </is>
      </c>
      <c r="C40" s="23" t="n">
        <v>1529</v>
      </c>
      <c r="D40" s="34" t="n">
        <v>0.015</v>
      </c>
      <c r="E40" s="35" t="n">
        <v>1</v>
      </c>
    </row>
    <row r="41">
      <c r="B41" s="30" t="inlineStr">
        <is>
          <t>Note: 'boleto' is a Brazil-only cash voucher printed at convenience stores. 1–3 day payment lag affects fulfillment timing.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3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8" customWidth="1" min="3" max="3"/>
    <col width="2" customWidth="1" min="4" max="4"/>
  </cols>
  <sheetData>
    <row r="2">
      <c r="B2" s="18" t="inlineStr">
        <is>
          <t>Monthly Revenue Trend (2017–2018)</t>
        </is>
      </c>
      <c r="C2" s="2" t="n"/>
    </row>
    <row r="3">
      <c r="B3" s="19" t="inlineStr">
        <is>
          <t>All values referenced from _data_calc!tbl_revenue. Edit data once → chart updates.</t>
        </is>
      </c>
      <c r="C3" s="2" t="n"/>
    </row>
    <row r="5">
      <c r="B5" s="10" t="inlineStr">
        <is>
          <t>Month</t>
        </is>
      </c>
      <c r="C5" s="10" t="inlineStr">
        <is>
          <t>Revenue (R$)</t>
        </is>
      </c>
    </row>
    <row r="6">
      <c r="B6" s="33">
        <f>_data_calc!A30</f>
        <v/>
      </c>
      <c r="C6" s="23">
        <f>_data_calc!B30</f>
        <v/>
      </c>
    </row>
    <row r="7">
      <c r="B7" s="33">
        <f>_data_calc!A31</f>
        <v/>
      </c>
      <c r="C7" s="23">
        <f>_data_calc!B31</f>
        <v/>
      </c>
    </row>
    <row r="8">
      <c r="B8" s="33">
        <f>_data_calc!A32</f>
        <v/>
      </c>
      <c r="C8" s="23">
        <f>_data_calc!B32</f>
        <v/>
      </c>
    </row>
    <row r="9">
      <c r="B9" s="33">
        <f>_data_calc!A33</f>
        <v/>
      </c>
      <c r="C9" s="23">
        <f>_data_calc!B33</f>
        <v/>
      </c>
    </row>
    <row r="10">
      <c r="B10" s="33">
        <f>_data_calc!A34</f>
        <v/>
      </c>
      <c r="C10" s="23">
        <f>_data_calc!B34</f>
        <v/>
      </c>
    </row>
    <row r="11">
      <c r="B11" s="33">
        <f>_data_calc!A35</f>
        <v/>
      </c>
      <c r="C11" s="23">
        <f>_data_calc!B35</f>
        <v/>
      </c>
    </row>
    <row r="12">
      <c r="B12" s="33">
        <f>_data_calc!A36</f>
        <v/>
      </c>
      <c r="C12" s="23">
        <f>_data_calc!B36</f>
        <v/>
      </c>
    </row>
    <row r="13">
      <c r="B13" s="33">
        <f>_data_calc!A37</f>
        <v/>
      </c>
      <c r="C13" s="23">
        <f>_data_calc!B37</f>
        <v/>
      </c>
    </row>
    <row r="14">
      <c r="B14" s="33">
        <f>_data_calc!A38</f>
        <v/>
      </c>
      <c r="C14" s="23">
        <f>_data_calc!B38</f>
        <v/>
      </c>
    </row>
    <row r="15">
      <c r="B15" s="33">
        <f>_data_calc!A39</f>
        <v/>
      </c>
      <c r="C15" s="23">
        <f>_data_calc!B39</f>
        <v/>
      </c>
    </row>
    <row r="16">
      <c r="B16" s="33">
        <f>_data_calc!A40</f>
        <v/>
      </c>
      <c r="C16" s="23">
        <f>_data_calc!B40</f>
        <v/>
      </c>
    </row>
    <row r="17">
      <c r="B17" s="33">
        <f>_data_calc!A41</f>
        <v/>
      </c>
      <c r="C17" s="23">
        <f>_data_calc!B41</f>
        <v/>
      </c>
    </row>
    <row r="18">
      <c r="B18" s="33">
        <f>_data_calc!A42</f>
        <v/>
      </c>
      <c r="C18" s="23">
        <f>_data_calc!B42</f>
        <v/>
      </c>
    </row>
    <row r="19">
      <c r="B19" s="33">
        <f>_data_calc!A43</f>
        <v/>
      </c>
      <c r="C19" s="23">
        <f>_data_calc!B43</f>
        <v/>
      </c>
    </row>
    <row r="20">
      <c r="B20" s="33">
        <f>_data_calc!A44</f>
        <v/>
      </c>
      <c r="C20" s="23">
        <f>_data_calc!B44</f>
        <v/>
      </c>
    </row>
    <row r="21">
      <c r="B21" s="33">
        <f>_data_calc!A45</f>
        <v/>
      </c>
      <c r="C21" s="23">
        <f>_data_calc!B45</f>
        <v/>
      </c>
    </row>
    <row r="22">
      <c r="B22" s="33">
        <f>_data_calc!A46</f>
        <v/>
      </c>
      <c r="C22" s="23">
        <f>_data_calc!B46</f>
        <v/>
      </c>
    </row>
    <row r="23">
      <c r="B23" s="33">
        <f>_data_calc!A47</f>
        <v/>
      </c>
      <c r="C23" s="23">
        <f>_data_calc!B47</f>
        <v/>
      </c>
    </row>
    <row r="24">
      <c r="B24" s="33">
        <f>_data_calc!A48</f>
        <v/>
      </c>
      <c r="C24" s="23">
        <f>_data_calc!B48</f>
        <v/>
      </c>
    </row>
    <row r="25">
      <c r="B25" s="33">
        <f>_data_calc!A49</f>
        <v/>
      </c>
      <c r="C25" s="23">
        <f>_data_calc!B49</f>
        <v/>
      </c>
    </row>
    <row r="28">
      <c r="B28" s="6" t="inlineStr">
        <is>
          <t>KEY INSIGHTS</t>
        </is>
      </c>
    </row>
    <row r="29">
      <c r="B29" s="36" t="inlineStr">
        <is>
          <t>• Peak: Nov 2017 ≈ R$ 988K (Black Friday + Christmas)</t>
        </is>
      </c>
    </row>
    <row r="30">
      <c r="B30" s="36" t="inlineStr">
        <is>
          <t>• 2018 stable plateau: R$ 0.7M – 1.0M monthly</t>
        </is>
      </c>
    </row>
    <row r="31">
      <c r="B31" s="36" t="inlineStr">
        <is>
          <t>• 2018-09 onwards = data truncation, not real decline</t>
        </is>
      </c>
    </row>
    <row r="32">
      <c r="B32" s="36" t="inlineStr">
        <is>
          <t>• Top 3 categories drive revenue: health_beauty, watches_gifts, bed_bath_table</t>
        </is>
      </c>
    </row>
    <row r="33">
      <c r="B33" s="36" t="inlineStr">
        <is>
          <t>• Recommendation: front-load marketing budget pre-Q4; concentrate inventory on top-3 categories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32" customWidth="1" min="9" max="9"/>
    <col width="2" customWidth="1" min="10" max="10"/>
  </cols>
  <sheetData>
    <row r="2">
      <c r="B2" s="18" t="inlineStr">
        <is>
          <t>RFM Customer Segmentation (NTILE Window Function)</t>
        </is>
      </c>
      <c r="C2" s="2" t="n"/>
      <c r="D2" s="2" t="n"/>
      <c r="E2" s="2" t="n"/>
      <c r="F2" s="2" t="n"/>
      <c r="G2" s="2" t="n"/>
      <c r="H2" s="2" t="n"/>
      <c r="I2" s="2" t="n"/>
    </row>
    <row r="3">
      <c r="B3" s="19" t="inlineStr">
        <is>
          <t>Pareto: Champions (16%) + At-Risk (24%) = 40% of customers, 67% of revenue.</t>
        </is>
      </c>
      <c r="C3" s="2" t="n"/>
      <c r="D3" s="2" t="n"/>
      <c r="E3" s="2" t="n"/>
      <c r="F3" s="2" t="n"/>
      <c r="G3" s="2" t="n"/>
      <c r="H3" s="2" t="n"/>
      <c r="I3" s="2" t="n"/>
    </row>
    <row r="5">
      <c r="B5" s="10" t="inlineStr">
        <is>
          <t>Segment</t>
        </is>
      </c>
      <c r="C5" s="10" t="inlineStr">
        <is>
          <t>Customers</t>
        </is>
      </c>
      <c r="D5" s="10" t="inlineStr">
        <is>
          <t>Customer %</t>
        </is>
      </c>
      <c r="E5" s="10" t="inlineStr">
        <is>
          <t>Revenue (R$)</t>
        </is>
      </c>
      <c r="F5" s="10" t="inlineStr">
        <is>
          <t>Revenue %</t>
        </is>
      </c>
      <c r="G5" s="10" t="inlineStr">
        <is>
          <t>ARPU (R$)</t>
        </is>
      </c>
      <c r="H5" s="10" t="inlineStr">
        <is>
          <t>Avg Recency (d)</t>
        </is>
      </c>
      <c r="I5" s="10" t="inlineStr">
        <is>
          <t>Persona / Action</t>
        </is>
      </c>
    </row>
    <row r="6">
      <c r="B6" s="14" t="inlineStr">
        <is>
          <t>Champions</t>
        </is>
      </c>
      <c r="C6" s="23">
        <f>_data_calc!B54</f>
        <v/>
      </c>
      <c r="D6" s="34">
        <f>_data_calc!C54</f>
        <v/>
      </c>
      <c r="E6" s="23">
        <f>_data_calc!D54</f>
        <v/>
      </c>
      <c r="F6" s="34">
        <f>_data_calc!E54</f>
        <v/>
      </c>
      <c r="G6" s="37">
        <f>_data_calc!F54</f>
        <v/>
      </c>
      <c r="H6" s="37">
        <f>_data_calc!G54</f>
        <v/>
      </c>
      <c r="I6" s="16" t="inlineStr">
        <is>
          <t>Big-ticket buyer, ordered last month — protect, upsell</t>
        </is>
      </c>
    </row>
    <row r="7">
      <c r="B7" s="14" t="inlineStr">
        <is>
          <t>At Risk</t>
        </is>
      </c>
      <c r="C7" s="23">
        <f>_data_calc!B55</f>
        <v/>
      </c>
      <c r="D7" s="34">
        <f>_data_calc!C55</f>
        <v/>
      </c>
      <c r="E7" s="23">
        <f>_data_calc!D55</f>
        <v/>
      </c>
      <c r="F7" s="34">
        <f>_data_calc!E55</f>
        <v/>
      </c>
      <c r="G7" s="37">
        <f>_data_calc!F55</f>
        <v/>
      </c>
      <c r="H7" s="37">
        <f>_data_calc!G55</f>
        <v/>
      </c>
      <c r="I7" s="16" t="inlineStr">
        <is>
          <t>High-value customer dormant ~13 months — top win-back priority</t>
        </is>
      </c>
    </row>
    <row r="8">
      <c r="B8" s="14" t="inlineStr">
        <is>
          <t>Loyal Low-spend</t>
        </is>
      </c>
      <c r="C8" s="23">
        <f>_data_calc!B56</f>
        <v/>
      </c>
      <c r="D8" s="34">
        <f>_data_calc!C56</f>
        <v/>
      </c>
      <c r="E8" s="23">
        <f>_data_calc!D56</f>
        <v/>
      </c>
      <c r="F8" s="34">
        <f>_data_calc!E56</f>
        <v/>
      </c>
      <c r="G8" s="37">
        <f>_data_calc!F56</f>
        <v/>
      </c>
      <c r="H8" s="37">
        <f>_data_calc!G56</f>
        <v/>
      </c>
      <c r="I8" s="16" t="inlineStr">
        <is>
          <t>Recent + frequent but low ticket. Bundle / category expansion</t>
        </is>
      </c>
    </row>
    <row r="9">
      <c r="B9" s="14" t="inlineStr">
        <is>
          <t>Average</t>
        </is>
      </c>
      <c r="C9" s="23">
        <f>_data_calc!B57</f>
        <v/>
      </c>
      <c r="D9" s="34">
        <f>_data_calc!C57</f>
        <v/>
      </c>
      <c r="E9" s="23">
        <f>_data_calc!D57</f>
        <v/>
      </c>
      <c r="F9" s="34">
        <f>_data_calc!E57</f>
        <v/>
      </c>
      <c r="G9" s="37">
        <f>_data_calc!F57</f>
        <v/>
      </c>
      <c r="H9" s="37">
        <f>_data_calc!G57</f>
        <v/>
      </c>
      <c r="I9" s="16" t="inlineStr">
        <is>
          <t>Mid-frequency, mid-value. Cross-sell test bed</t>
        </is>
      </c>
    </row>
    <row r="10">
      <c r="B10" s="14" t="inlineStr">
        <is>
          <t>Potential New</t>
        </is>
      </c>
      <c r="C10" s="23">
        <f>_data_calc!B58</f>
        <v/>
      </c>
      <c r="D10" s="34">
        <f>_data_calc!C58</f>
        <v/>
      </c>
      <c r="E10" s="23">
        <f>_data_calc!D58</f>
        <v/>
      </c>
      <c r="F10" s="34">
        <f>_data_calc!E58</f>
        <v/>
      </c>
      <c r="G10" s="37">
        <f>_data_calc!F58</f>
        <v/>
      </c>
      <c r="H10" s="37">
        <f>_data_calc!G58</f>
        <v/>
      </c>
      <c r="I10" s="16" t="inlineStr">
        <is>
          <t>Just acquired, low ticket. Onboarding nurture</t>
        </is>
      </c>
    </row>
    <row r="11">
      <c r="B11" s="14" t="inlineStr">
        <is>
          <t>Lost</t>
        </is>
      </c>
      <c r="C11" s="23">
        <f>_data_calc!B59</f>
        <v/>
      </c>
      <c r="D11" s="34">
        <f>_data_calc!C59</f>
        <v/>
      </c>
      <c r="E11" s="23">
        <f>_data_calc!D59</f>
        <v/>
      </c>
      <c r="F11" s="34">
        <f>_data_calc!E59</f>
        <v/>
      </c>
      <c r="G11" s="37">
        <f>_data_calc!F59</f>
        <v/>
      </c>
      <c r="H11" s="37">
        <f>_data_calc!G59</f>
        <v/>
      </c>
      <c r="I11" s="16" t="inlineStr">
        <is>
          <t>Long inactive + low value. Lowest priority</t>
        </is>
      </c>
    </row>
    <row r="33">
      <c r="B33" s="6" t="inlineStr">
        <is>
          <t>FOUR BUSINESS INSIGHTS</t>
        </is>
      </c>
    </row>
    <row r="34">
      <c r="B34" s="36" t="inlineStr">
        <is>
          <t>1. Pareto holds — Champions (16%) + At-Risk (24%) = 40% of customers but 67% of revenue</t>
        </is>
      </c>
    </row>
    <row r="35">
      <c r="B35" s="36" t="inlineStr">
        <is>
          <t>2. Biggest lever is WIN-BACK, not acquisition — At-Risk owns 35.5% of revenue and 21,975 wallets</t>
        </is>
      </c>
    </row>
    <row r="36">
      <c r="B36" s="36" t="inlineStr">
        <is>
          <t>3. Champions ARPU (R$ 274) is 2× platform avg — VIP program + cross-category recommendation candidate</t>
        </is>
      </c>
    </row>
    <row r="37">
      <c r="B37" s="36" t="inlineStr">
        <is>
          <t>4. CRITICAL — Frequency ≈ 1.0 across ALL segments. Olist is acquisition-driven, not retention-driven</t>
        </is>
      </c>
    </row>
    <row r="39">
      <c r="B39" s="6" t="inlineStr">
        <is>
          <t>WHY RULE-BASED, NOT K-MEANS?</t>
        </is>
      </c>
    </row>
    <row r="40">
      <c r="B40" s="36" t="inlineStr">
        <is>
          <t>1. Business interpretability — marketing teams understand 'At Risk' but not 'Cluster 3'</t>
        </is>
      </c>
    </row>
    <row r="41">
      <c r="B41" s="36" t="inlineStr">
        <is>
          <t>2. F dimension has no variance (median = 1.0); K-Means would create meaningless clusters</t>
        </is>
      </c>
    </row>
    <row r="42">
      <c r="B42" s="36" t="inlineStr">
        <is>
          <t>3. Stable thresholds year-over-year — K-Means re-trains drift segment definitions</t>
        </is>
      </c>
    </row>
  </sheetData>
  <conditionalFormatting sqref="D6:D11">
    <cfRule type="dataBar" priority="1">
      <dataBar showValue="1">
        <cfvo type="min"/>
        <cfvo type="max"/>
        <color rgb="002E8B8B"/>
      </dataBar>
    </cfRule>
  </conditionalFormatting>
  <conditionalFormatting sqref="F6:F11">
    <cfRule type="dataBar" priority="2">
      <dataBar showValue="1">
        <cfvo type="min"/>
        <cfvo type="max"/>
        <color rgb="00E07B39"/>
      </dataBar>
    </cfRule>
  </conditionalFormatting>
  <conditionalFormatting sqref="G6:G11">
    <cfRule type="iconSet" priority="3">
      <iconSet iconSet="3TrafficLights1" showValue="1">
        <cfvo type="percent" val="0"/>
        <cfvo type="percent" val="33"/>
        <cfvo type="percent" val="67"/>
      </iconSet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O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2">
      <c r="B2" s="18" t="inlineStr">
        <is>
          <t>Cohort Retention Heatmap — Proof of F=1.0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B3" s="19" t="inlineStr">
        <is>
          <t>Cell value = % of cohort active in month N. Healthy e-commerce = 5–15% at M1. Olist = 0.2–0.7%.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5">
      <c r="B5" s="10" t="inlineStr">
        <is>
          <t>Cohort</t>
        </is>
      </c>
      <c r="C5" s="10" t="inlineStr">
        <is>
          <t>M0</t>
        </is>
      </c>
      <c r="D5" s="10" t="inlineStr">
        <is>
          <t>M1</t>
        </is>
      </c>
      <c r="E5" s="10" t="inlineStr">
        <is>
          <t>M2</t>
        </is>
      </c>
      <c r="F5" s="10" t="inlineStr">
        <is>
          <t>M3</t>
        </is>
      </c>
      <c r="G5" s="10" t="inlineStr">
        <is>
          <t>M4</t>
        </is>
      </c>
      <c r="H5" s="10" t="inlineStr">
        <is>
          <t>M5</t>
        </is>
      </c>
      <c r="I5" s="10" t="inlineStr">
        <is>
          <t>M6</t>
        </is>
      </c>
      <c r="J5" s="10" t="inlineStr">
        <is>
          <t>M7</t>
        </is>
      </c>
      <c r="K5" s="10" t="inlineStr">
        <is>
          <t>M8</t>
        </is>
      </c>
      <c r="L5" s="10" t="inlineStr">
        <is>
          <t>M9</t>
        </is>
      </c>
      <c r="M5" s="10" t="inlineStr">
        <is>
          <t>M10</t>
        </is>
      </c>
      <c r="N5" s="10" t="inlineStr">
        <is>
          <t>M11</t>
        </is>
      </c>
      <c r="O5" s="10" t="inlineStr">
        <is>
          <t>M12</t>
        </is>
      </c>
    </row>
    <row r="6">
      <c r="B6" s="38">
        <f>_data_calc!A92</f>
        <v/>
      </c>
      <c r="C6" s="39">
        <f>_data_calc!B92</f>
        <v/>
      </c>
      <c r="D6" s="39">
        <f>_data_calc!C92</f>
        <v/>
      </c>
      <c r="E6" s="39">
        <f>_data_calc!D92</f>
        <v/>
      </c>
      <c r="F6" s="39">
        <f>_data_calc!E92</f>
        <v/>
      </c>
      <c r="G6" s="39">
        <f>_data_calc!F92</f>
        <v/>
      </c>
      <c r="H6" s="39">
        <f>_data_calc!G92</f>
        <v/>
      </c>
      <c r="I6" s="39">
        <f>_data_calc!H92</f>
        <v/>
      </c>
      <c r="J6" s="39">
        <f>_data_calc!I92</f>
        <v/>
      </c>
      <c r="K6" s="39">
        <f>_data_calc!J92</f>
        <v/>
      </c>
      <c r="L6" s="39">
        <f>_data_calc!K92</f>
        <v/>
      </c>
      <c r="M6" s="39">
        <f>_data_calc!L92</f>
        <v/>
      </c>
      <c r="N6" s="39">
        <f>_data_calc!M92</f>
        <v/>
      </c>
      <c r="O6" s="39">
        <f>_data_calc!N92</f>
        <v/>
      </c>
    </row>
    <row r="7">
      <c r="B7" s="38">
        <f>_data_calc!A93</f>
        <v/>
      </c>
      <c r="C7" s="39">
        <f>_data_calc!B93</f>
        <v/>
      </c>
      <c r="D7" s="39">
        <f>_data_calc!C93</f>
        <v/>
      </c>
      <c r="E7" s="39">
        <f>_data_calc!D93</f>
        <v/>
      </c>
      <c r="F7" s="39">
        <f>_data_calc!E93</f>
        <v/>
      </c>
      <c r="G7" s="39">
        <f>_data_calc!F93</f>
        <v/>
      </c>
      <c r="H7" s="39">
        <f>_data_calc!G93</f>
        <v/>
      </c>
      <c r="I7" s="39">
        <f>_data_calc!H93</f>
        <v/>
      </c>
      <c r="J7" s="39">
        <f>_data_calc!I93</f>
        <v/>
      </c>
      <c r="K7" s="39">
        <f>_data_calc!J93</f>
        <v/>
      </c>
      <c r="L7" s="39">
        <f>_data_calc!K93</f>
        <v/>
      </c>
      <c r="M7" s="39">
        <f>_data_calc!L93</f>
        <v/>
      </c>
      <c r="N7" s="39">
        <f>_data_calc!M93</f>
        <v/>
      </c>
      <c r="O7" s="39">
        <f>_data_calc!N93</f>
        <v/>
      </c>
    </row>
    <row r="8">
      <c r="B8" s="38">
        <f>_data_calc!A94</f>
        <v/>
      </c>
      <c r="C8" s="39">
        <f>_data_calc!B94</f>
        <v/>
      </c>
      <c r="D8" s="39">
        <f>_data_calc!C94</f>
        <v/>
      </c>
      <c r="E8" s="39">
        <f>_data_calc!D94</f>
        <v/>
      </c>
      <c r="F8" s="39">
        <f>_data_calc!E94</f>
        <v/>
      </c>
      <c r="G8" s="39">
        <f>_data_calc!F94</f>
        <v/>
      </c>
      <c r="H8" s="39">
        <f>_data_calc!G94</f>
        <v/>
      </c>
      <c r="I8" s="39">
        <f>_data_calc!H94</f>
        <v/>
      </c>
      <c r="J8" s="39">
        <f>_data_calc!I94</f>
        <v/>
      </c>
      <c r="K8" s="39">
        <f>_data_calc!J94</f>
        <v/>
      </c>
      <c r="L8" s="39">
        <f>_data_calc!K94</f>
        <v/>
      </c>
      <c r="M8" s="39">
        <f>_data_calc!L94</f>
        <v/>
      </c>
      <c r="N8" s="39">
        <f>_data_calc!M94</f>
        <v/>
      </c>
      <c r="O8" s="39">
        <f>_data_calc!N94</f>
        <v/>
      </c>
    </row>
    <row r="9">
      <c r="B9" s="38">
        <f>_data_calc!A95</f>
        <v/>
      </c>
      <c r="C9" s="39">
        <f>_data_calc!B95</f>
        <v/>
      </c>
      <c r="D9" s="39">
        <f>_data_calc!C95</f>
        <v/>
      </c>
      <c r="E9" s="39">
        <f>_data_calc!D95</f>
        <v/>
      </c>
      <c r="F9" s="39">
        <f>_data_calc!E95</f>
        <v/>
      </c>
      <c r="G9" s="39">
        <f>_data_calc!F95</f>
        <v/>
      </c>
      <c r="H9" s="39">
        <f>_data_calc!G95</f>
        <v/>
      </c>
      <c r="I9" s="39">
        <f>_data_calc!H95</f>
        <v/>
      </c>
      <c r="J9" s="39">
        <f>_data_calc!I95</f>
        <v/>
      </c>
      <c r="K9" s="39">
        <f>_data_calc!J95</f>
        <v/>
      </c>
      <c r="L9" s="39">
        <f>_data_calc!K95</f>
        <v/>
      </c>
      <c r="M9" s="39">
        <f>_data_calc!L95</f>
        <v/>
      </c>
      <c r="N9" s="39">
        <f>_data_calc!M95</f>
        <v/>
      </c>
      <c r="O9" s="39">
        <f>_data_calc!N95</f>
        <v/>
      </c>
    </row>
    <row r="10">
      <c r="B10" s="38">
        <f>_data_calc!A96</f>
        <v/>
      </c>
      <c r="C10" s="39">
        <f>_data_calc!B96</f>
        <v/>
      </c>
      <c r="D10" s="39">
        <f>_data_calc!C96</f>
        <v/>
      </c>
      <c r="E10" s="39">
        <f>_data_calc!D96</f>
        <v/>
      </c>
      <c r="F10" s="39">
        <f>_data_calc!E96</f>
        <v/>
      </c>
      <c r="G10" s="39">
        <f>_data_calc!F96</f>
        <v/>
      </c>
      <c r="H10" s="39">
        <f>_data_calc!G96</f>
        <v/>
      </c>
      <c r="I10" s="39">
        <f>_data_calc!H96</f>
        <v/>
      </c>
      <c r="J10" s="39">
        <f>_data_calc!I96</f>
        <v/>
      </c>
      <c r="K10" s="39">
        <f>_data_calc!J96</f>
        <v/>
      </c>
      <c r="L10" s="39">
        <f>_data_calc!K96</f>
        <v/>
      </c>
      <c r="M10" s="39">
        <f>_data_calc!L96</f>
        <v/>
      </c>
      <c r="N10" s="39">
        <f>_data_calc!M96</f>
        <v/>
      </c>
      <c r="O10" s="39">
        <f>_data_calc!N96</f>
        <v/>
      </c>
    </row>
    <row r="11">
      <c r="B11" s="38">
        <f>_data_calc!A97</f>
        <v/>
      </c>
      <c r="C11" s="39">
        <f>_data_calc!B97</f>
        <v/>
      </c>
      <c r="D11" s="39">
        <f>_data_calc!C97</f>
        <v/>
      </c>
      <c r="E11" s="39">
        <f>_data_calc!D97</f>
        <v/>
      </c>
      <c r="F11" s="39">
        <f>_data_calc!E97</f>
        <v/>
      </c>
      <c r="G11" s="39">
        <f>_data_calc!F97</f>
        <v/>
      </c>
      <c r="H11" s="39">
        <f>_data_calc!G97</f>
        <v/>
      </c>
      <c r="I11" s="39">
        <f>_data_calc!H97</f>
        <v/>
      </c>
      <c r="J11" s="39">
        <f>_data_calc!I97</f>
        <v/>
      </c>
      <c r="K11" s="39">
        <f>_data_calc!J97</f>
        <v/>
      </c>
      <c r="L11" s="39">
        <f>_data_calc!K97</f>
        <v/>
      </c>
      <c r="M11" s="39">
        <f>_data_calc!L97</f>
        <v/>
      </c>
      <c r="N11" s="39">
        <f>_data_calc!M97</f>
        <v/>
      </c>
      <c r="O11" s="39">
        <f>_data_calc!N97</f>
        <v/>
      </c>
    </row>
    <row r="12">
      <c r="B12" s="38">
        <f>_data_calc!A98</f>
        <v/>
      </c>
      <c r="C12" s="39">
        <f>_data_calc!B98</f>
        <v/>
      </c>
      <c r="D12" s="39">
        <f>_data_calc!C98</f>
        <v/>
      </c>
      <c r="E12" s="39">
        <f>_data_calc!D98</f>
        <v/>
      </c>
      <c r="F12" s="39">
        <f>_data_calc!E98</f>
        <v/>
      </c>
      <c r="G12" s="39">
        <f>_data_calc!F98</f>
        <v/>
      </c>
      <c r="H12" s="39">
        <f>_data_calc!G98</f>
        <v/>
      </c>
      <c r="I12" s="39">
        <f>_data_calc!H98</f>
        <v/>
      </c>
      <c r="J12" s="39">
        <f>_data_calc!I98</f>
        <v/>
      </c>
      <c r="K12" s="39">
        <f>_data_calc!J98</f>
        <v/>
      </c>
      <c r="L12" s="39">
        <f>_data_calc!K98</f>
        <v/>
      </c>
      <c r="M12" s="39">
        <f>_data_calc!L98</f>
        <v/>
      </c>
      <c r="N12" s="39">
        <f>_data_calc!M98</f>
        <v/>
      </c>
      <c r="O12" s="39">
        <f>_data_calc!N98</f>
        <v/>
      </c>
    </row>
    <row r="13">
      <c r="B13" s="38">
        <f>_data_calc!A99</f>
        <v/>
      </c>
      <c r="C13" s="39">
        <f>_data_calc!B99</f>
        <v/>
      </c>
      <c r="D13" s="39">
        <f>_data_calc!C99</f>
        <v/>
      </c>
      <c r="E13" s="39">
        <f>_data_calc!D99</f>
        <v/>
      </c>
      <c r="F13" s="39">
        <f>_data_calc!E99</f>
        <v/>
      </c>
      <c r="G13" s="39">
        <f>_data_calc!F99</f>
        <v/>
      </c>
      <c r="H13" s="39">
        <f>_data_calc!G99</f>
        <v/>
      </c>
      <c r="I13" s="39">
        <f>_data_calc!H99</f>
        <v/>
      </c>
      <c r="J13" s="39">
        <f>_data_calc!I99</f>
        <v/>
      </c>
      <c r="K13" s="39">
        <f>_data_calc!J99</f>
        <v/>
      </c>
      <c r="L13" s="39">
        <f>_data_calc!K99</f>
        <v/>
      </c>
      <c r="M13" s="39">
        <f>_data_calc!L99</f>
        <v/>
      </c>
      <c r="N13" s="39">
        <f>_data_calc!M99</f>
        <v/>
      </c>
      <c r="O13" s="39">
        <f>_data_calc!N99</f>
        <v/>
      </c>
    </row>
    <row r="14">
      <c r="B14" s="38">
        <f>_data_calc!A100</f>
        <v/>
      </c>
      <c r="C14" s="39">
        <f>_data_calc!B100</f>
        <v/>
      </c>
      <c r="D14" s="39">
        <f>_data_calc!C100</f>
        <v/>
      </c>
      <c r="E14" s="39">
        <f>_data_calc!D100</f>
        <v/>
      </c>
      <c r="F14" s="39">
        <f>_data_calc!E100</f>
        <v/>
      </c>
      <c r="G14" s="39">
        <f>_data_calc!F100</f>
        <v/>
      </c>
      <c r="H14" s="39">
        <f>_data_calc!G100</f>
        <v/>
      </c>
      <c r="I14" s="39">
        <f>_data_calc!H100</f>
        <v/>
      </c>
      <c r="J14" s="39">
        <f>_data_calc!I100</f>
        <v/>
      </c>
      <c r="K14" s="39">
        <f>_data_calc!J100</f>
        <v/>
      </c>
      <c r="L14" s="39">
        <f>_data_calc!K100</f>
        <v/>
      </c>
      <c r="M14" s="39">
        <f>_data_calc!L100</f>
        <v/>
      </c>
      <c r="N14" s="39">
        <f>_data_calc!M100</f>
        <v/>
      </c>
      <c r="O14" s="39">
        <f>_data_calc!N100</f>
        <v/>
      </c>
    </row>
    <row r="15">
      <c r="B15" s="38">
        <f>_data_calc!A101</f>
        <v/>
      </c>
      <c r="C15" s="39">
        <f>_data_calc!B101</f>
        <v/>
      </c>
      <c r="D15" s="39">
        <f>_data_calc!C101</f>
        <v/>
      </c>
      <c r="E15" s="39">
        <f>_data_calc!D101</f>
        <v/>
      </c>
      <c r="F15" s="39">
        <f>_data_calc!E101</f>
        <v/>
      </c>
      <c r="G15" s="39">
        <f>_data_calc!F101</f>
        <v/>
      </c>
      <c r="H15" s="39">
        <f>_data_calc!G101</f>
        <v/>
      </c>
      <c r="I15" s="39">
        <f>_data_calc!H101</f>
        <v/>
      </c>
      <c r="J15" s="39">
        <f>_data_calc!I101</f>
        <v/>
      </c>
      <c r="K15" s="39">
        <f>_data_calc!J101</f>
        <v/>
      </c>
      <c r="L15" s="39">
        <f>_data_calc!K101</f>
        <v/>
      </c>
      <c r="M15" s="39">
        <f>_data_calc!L101</f>
        <v/>
      </c>
      <c r="N15" s="39">
        <f>_data_calc!M101</f>
        <v/>
      </c>
      <c r="O15" s="39">
        <f>_data_calc!N101</f>
        <v/>
      </c>
    </row>
    <row r="16">
      <c r="B16" s="38">
        <f>_data_calc!A102</f>
        <v/>
      </c>
      <c r="C16" s="39">
        <f>_data_calc!B102</f>
        <v/>
      </c>
      <c r="D16" s="39">
        <f>_data_calc!C102</f>
        <v/>
      </c>
      <c r="E16" s="39">
        <f>_data_calc!D102</f>
        <v/>
      </c>
      <c r="F16" s="39">
        <f>_data_calc!E102</f>
        <v/>
      </c>
      <c r="G16" s="39">
        <f>_data_calc!F102</f>
        <v/>
      </c>
      <c r="H16" s="39">
        <f>_data_calc!G102</f>
        <v/>
      </c>
      <c r="I16" s="39">
        <f>_data_calc!H102</f>
        <v/>
      </c>
      <c r="J16" s="39">
        <f>_data_calc!I102</f>
        <v/>
      </c>
      <c r="K16" s="39">
        <f>_data_calc!J102</f>
        <v/>
      </c>
      <c r="L16" s="39">
        <f>_data_calc!K102</f>
        <v/>
      </c>
      <c r="M16" s="39">
        <f>_data_calc!L102</f>
        <v/>
      </c>
      <c r="N16" s="39">
        <f>_data_calc!M102</f>
        <v/>
      </c>
      <c r="O16" s="39">
        <f>_data_calc!N102</f>
        <v/>
      </c>
    </row>
    <row r="17">
      <c r="B17" s="38">
        <f>_data_calc!A103</f>
        <v/>
      </c>
      <c r="C17" s="39">
        <f>_data_calc!B103</f>
        <v/>
      </c>
      <c r="D17" s="39">
        <f>_data_calc!C103</f>
        <v/>
      </c>
      <c r="E17" s="39">
        <f>_data_calc!D103</f>
        <v/>
      </c>
      <c r="F17" s="39">
        <f>_data_calc!E103</f>
        <v/>
      </c>
      <c r="G17" s="39">
        <f>_data_calc!F103</f>
        <v/>
      </c>
      <c r="H17" s="39">
        <f>_data_calc!G103</f>
        <v/>
      </c>
      <c r="I17" s="39">
        <f>_data_calc!H103</f>
        <v/>
      </c>
      <c r="J17" s="39">
        <f>_data_calc!I103</f>
        <v/>
      </c>
      <c r="K17" s="39">
        <f>_data_calc!J103</f>
        <v/>
      </c>
      <c r="L17" s="39">
        <f>_data_calc!K103</f>
        <v/>
      </c>
      <c r="M17" s="39">
        <f>_data_calc!L103</f>
        <v/>
      </c>
      <c r="N17" s="39">
        <f>_data_calc!M103</f>
        <v/>
      </c>
      <c r="O17" s="39">
        <f>_data_calc!N103</f>
        <v/>
      </c>
    </row>
    <row r="18">
      <c r="B18" s="38">
        <f>_data_calc!A104</f>
        <v/>
      </c>
      <c r="C18" s="39">
        <f>_data_calc!B104</f>
        <v/>
      </c>
      <c r="D18" s="39">
        <f>_data_calc!C104</f>
        <v/>
      </c>
      <c r="E18" s="39">
        <f>_data_calc!D104</f>
        <v/>
      </c>
      <c r="F18" s="39">
        <f>_data_calc!E104</f>
        <v/>
      </c>
      <c r="G18" s="39">
        <f>_data_calc!F104</f>
        <v/>
      </c>
      <c r="H18" s="39">
        <f>_data_calc!G104</f>
        <v/>
      </c>
      <c r="I18" s="39">
        <f>_data_calc!H104</f>
        <v/>
      </c>
      <c r="J18" s="39">
        <f>_data_calc!I104</f>
        <v/>
      </c>
      <c r="K18" s="39">
        <f>_data_calc!J104</f>
        <v/>
      </c>
      <c r="L18" s="39">
        <f>_data_calc!K104</f>
        <v/>
      </c>
      <c r="M18" s="39">
        <f>_data_calc!L104</f>
        <v/>
      </c>
      <c r="N18" s="39">
        <f>_data_calc!M104</f>
        <v/>
      </c>
      <c r="O18" s="39">
        <f>_data_calc!N104</f>
        <v/>
      </c>
    </row>
    <row r="19">
      <c r="B19" s="38">
        <f>_data_calc!A105</f>
        <v/>
      </c>
      <c r="C19" s="39">
        <f>_data_calc!B105</f>
        <v/>
      </c>
      <c r="D19" s="39">
        <f>_data_calc!C105</f>
        <v/>
      </c>
      <c r="E19" s="39">
        <f>_data_calc!D105</f>
        <v/>
      </c>
      <c r="F19" s="39">
        <f>_data_calc!E105</f>
        <v/>
      </c>
      <c r="G19" s="39">
        <f>_data_calc!F105</f>
        <v/>
      </c>
      <c r="H19" s="39">
        <f>_data_calc!G105</f>
        <v/>
      </c>
      <c r="I19" s="39">
        <f>_data_calc!H105</f>
        <v/>
      </c>
      <c r="J19" s="39">
        <f>_data_calc!I105</f>
        <v/>
      </c>
      <c r="K19" s="39">
        <f>_data_calc!J105</f>
        <v/>
      </c>
      <c r="L19" s="39">
        <f>_data_calc!K105</f>
        <v/>
      </c>
      <c r="M19" s="39">
        <f>_data_calc!L105</f>
        <v/>
      </c>
      <c r="N19" s="39">
        <f>_data_calc!M105</f>
        <v/>
      </c>
      <c r="O19" s="39">
        <f>_data_calc!N105</f>
        <v/>
      </c>
    </row>
    <row r="20">
      <c r="B20" s="38">
        <f>_data_calc!A106</f>
        <v/>
      </c>
      <c r="C20" s="39">
        <f>_data_calc!B106</f>
        <v/>
      </c>
      <c r="D20" s="39">
        <f>_data_calc!C106</f>
        <v/>
      </c>
      <c r="E20" s="39">
        <f>_data_calc!D106</f>
        <v/>
      </c>
      <c r="F20" s="39">
        <f>_data_calc!E106</f>
        <v/>
      </c>
      <c r="G20" s="39">
        <f>_data_calc!F106</f>
        <v/>
      </c>
      <c r="H20" s="39">
        <f>_data_calc!G106</f>
        <v/>
      </c>
      <c r="I20" s="39">
        <f>_data_calc!H106</f>
        <v/>
      </c>
      <c r="J20" s="39">
        <f>_data_calc!I106</f>
        <v/>
      </c>
      <c r="K20" s="39">
        <f>_data_calc!J106</f>
        <v/>
      </c>
      <c r="L20" s="39">
        <f>_data_calc!K106</f>
        <v/>
      </c>
      <c r="M20" s="39">
        <f>_data_calc!L106</f>
        <v/>
      </c>
      <c r="N20" s="39">
        <f>_data_calc!M106</f>
        <v/>
      </c>
      <c r="O20" s="39">
        <f>_data_calc!N106</f>
        <v/>
      </c>
    </row>
    <row r="21">
      <c r="B21" s="38">
        <f>_data_calc!A107</f>
        <v/>
      </c>
      <c r="C21" s="39">
        <f>_data_calc!B107</f>
        <v/>
      </c>
      <c r="D21" s="39">
        <f>_data_calc!C107</f>
        <v/>
      </c>
      <c r="E21" s="39">
        <f>_data_calc!D107</f>
        <v/>
      </c>
      <c r="F21" s="39">
        <f>_data_calc!E107</f>
        <v/>
      </c>
      <c r="G21" s="39">
        <f>_data_calc!F107</f>
        <v/>
      </c>
      <c r="H21" s="39">
        <f>_data_calc!G107</f>
        <v/>
      </c>
      <c r="I21" s="39">
        <f>_data_calc!H107</f>
        <v/>
      </c>
      <c r="J21" s="39">
        <f>_data_calc!I107</f>
        <v/>
      </c>
      <c r="K21" s="39">
        <f>_data_calc!J107</f>
        <v/>
      </c>
      <c r="L21" s="39">
        <f>_data_calc!K107</f>
        <v/>
      </c>
      <c r="M21" s="39">
        <f>_data_calc!L107</f>
        <v/>
      </c>
      <c r="N21" s="39">
        <f>_data_calc!M107</f>
        <v/>
      </c>
      <c r="O21" s="39">
        <f>_data_calc!N107</f>
        <v/>
      </c>
    </row>
    <row r="22">
      <c r="B22" s="38">
        <f>_data_calc!A108</f>
        <v/>
      </c>
      <c r="C22" s="39">
        <f>_data_calc!B108</f>
        <v/>
      </c>
      <c r="D22" s="39">
        <f>_data_calc!C108</f>
        <v/>
      </c>
      <c r="E22" s="39">
        <f>_data_calc!D108</f>
        <v/>
      </c>
      <c r="F22" s="39">
        <f>_data_calc!E108</f>
        <v/>
      </c>
      <c r="G22" s="39">
        <f>_data_calc!F108</f>
        <v/>
      </c>
      <c r="H22" s="39">
        <f>_data_calc!G108</f>
        <v/>
      </c>
      <c r="I22" s="39">
        <f>_data_calc!H108</f>
        <v/>
      </c>
      <c r="J22" s="39">
        <f>_data_calc!I108</f>
        <v/>
      </c>
      <c r="K22" s="39">
        <f>_data_calc!J108</f>
        <v/>
      </c>
      <c r="L22" s="39">
        <f>_data_calc!K108</f>
        <v/>
      </c>
      <c r="M22" s="39">
        <f>_data_calc!L108</f>
        <v/>
      </c>
      <c r="N22" s="39">
        <f>_data_calc!M108</f>
        <v/>
      </c>
      <c r="O22" s="39">
        <f>_data_calc!N108</f>
        <v/>
      </c>
    </row>
    <row r="23">
      <c r="B23" s="38">
        <f>_data_calc!A109</f>
        <v/>
      </c>
      <c r="C23" s="39">
        <f>_data_calc!B109</f>
        <v/>
      </c>
      <c r="D23" s="39">
        <f>_data_calc!C109</f>
        <v/>
      </c>
      <c r="E23" s="39">
        <f>_data_calc!D109</f>
        <v/>
      </c>
      <c r="F23" s="39">
        <f>_data_calc!E109</f>
        <v/>
      </c>
      <c r="G23" s="39">
        <f>_data_calc!F109</f>
        <v/>
      </c>
      <c r="H23" s="39">
        <f>_data_calc!G109</f>
        <v/>
      </c>
      <c r="I23" s="39">
        <f>_data_calc!H109</f>
        <v/>
      </c>
      <c r="J23" s="39">
        <f>_data_calc!I109</f>
        <v/>
      </c>
      <c r="K23" s="39">
        <f>_data_calc!J109</f>
        <v/>
      </c>
      <c r="L23" s="39">
        <f>_data_calc!K109</f>
        <v/>
      </c>
      <c r="M23" s="39">
        <f>_data_calc!L109</f>
        <v/>
      </c>
      <c r="N23" s="39">
        <f>_data_calc!M109</f>
        <v/>
      </c>
      <c r="O23" s="39">
        <f>_data_calc!N109</f>
        <v/>
      </c>
    </row>
    <row r="24">
      <c r="B24" s="38">
        <f>_data_calc!A110</f>
        <v/>
      </c>
      <c r="C24" s="39">
        <f>_data_calc!B110</f>
        <v/>
      </c>
      <c r="D24" s="39">
        <f>_data_calc!C110</f>
        <v/>
      </c>
      <c r="E24" s="39">
        <f>_data_calc!D110</f>
        <v/>
      </c>
      <c r="F24" s="39">
        <f>_data_calc!E110</f>
        <v/>
      </c>
      <c r="G24" s="39">
        <f>_data_calc!F110</f>
        <v/>
      </c>
      <c r="H24" s="39">
        <f>_data_calc!G110</f>
        <v/>
      </c>
      <c r="I24" s="39">
        <f>_data_calc!H110</f>
        <v/>
      </c>
      <c r="J24" s="39">
        <f>_data_calc!I110</f>
        <v/>
      </c>
      <c r="K24" s="39">
        <f>_data_calc!J110</f>
        <v/>
      </c>
      <c r="L24" s="39">
        <f>_data_calc!K110</f>
        <v/>
      </c>
      <c r="M24" s="39">
        <f>_data_calc!L110</f>
        <v/>
      </c>
      <c r="N24" s="39">
        <f>_data_calc!M110</f>
        <v/>
      </c>
      <c r="O24" s="39">
        <f>_data_calc!N110</f>
        <v/>
      </c>
    </row>
    <row r="25">
      <c r="B25" s="38">
        <f>_data_calc!A111</f>
        <v/>
      </c>
      <c r="C25" s="39">
        <f>_data_calc!B111</f>
        <v/>
      </c>
      <c r="D25" s="39">
        <f>_data_calc!C111</f>
        <v/>
      </c>
      <c r="E25" s="39">
        <f>_data_calc!D111</f>
        <v/>
      </c>
      <c r="F25" s="39">
        <f>_data_calc!E111</f>
        <v/>
      </c>
      <c r="G25" s="39">
        <f>_data_calc!F111</f>
        <v/>
      </c>
      <c r="H25" s="39">
        <f>_data_calc!G111</f>
        <v/>
      </c>
      <c r="I25" s="39">
        <f>_data_calc!H111</f>
        <v/>
      </c>
      <c r="J25" s="39">
        <f>_data_calc!I111</f>
        <v/>
      </c>
      <c r="K25" s="39">
        <f>_data_calc!J111</f>
        <v/>
      </c>
      <c r="L25" s="39">
        <f>_data_calc!K111</f>
        <v/>
      </c>
      <c r="M25" s="39">
        <f>_data_calc!L111</f>
        <v/>
      </c>
      <c r="N25" s="39">
        <f>_data_calc!M111</f>
        <v/>
      </c>
      <c r="O25" s="39">
        <f>_data_calc!N111</f>
        <v/>
      </c>
    </row>
    <row r="28">
      <c r="B28" s="6" t="inlineStr">
        <is>
          <t>KEY READINGS</t>
        </is>
      </c>
    </row>
    <row r="29">
      <c r="B29" s="36" t="inlineStr">
        <is>
          <t>• M0 = 100% by definition (everyone bought in their cohort month)</t>
        </is>
      </c>
    </row>
    <row r="30">
      <c r="B30" s="36" t="inlineStr">
        <is>
          <t>• M1 = 0.2–0.7% across nearly all cohorts → 99%+ never come back next month</t>
        </is>
      </c>
    </row>
    <row r="31">
      <c r="B31" s="36" t="inlineStr">
        <is>
          <t>• Mature e-commerce benchmark: M1 ≈ 5–15%. Olist is 1–2 orders of magnitude below</t>
        </is>
      </c>
    </row>
    <row r="32">
      <c r="B32" s="36" t="inlineStr">
        <is>
          <t>• 93,358 unique customers → only 1,693 (1.81%) bought in more than one month</t>
        </is>
      </c>
    </row>
    <row r="33">
      <c r="B33" s="36" t="inlineStr">
        <is>
          <t>• Implication: this is not a 'low retention' problem — retention essentially does not exist</t>
        </is>
      </c>
    </row>
    <row r="34">
      <c r="B34" s="36" t="inlineStr">
        <is>
          <t>• Hypotheses for v2: (a) Brazil-wide e-comm pattern? (b) Product mix skewed to one-time durables? (c) No loyalty program?</t>
        </is>
      </c>
    </row>
  </sheetData>
  <conditionalFormatting sqref="D6:O25">
    <cfRule type="colorScale" priority="1">
      <colorScale>
        <cfvo type="num" val="0"/>
        <cfvo type="num" val="0.05"/>
        <cfvo type="num" val="0.1"/>
        <color rgb="00FFFFFF"/>
        <color rgb="00F4D35E"/>
        <color rgb="00E07B39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" customWidth="1" min="8" max="8"/>
  </cols>
  <sheetData>
    <row r="2">
      <c r="B2" s="18" t="inlineStr">
        <is>
          <t>At-Risk Win-back ROI Calculator</t>
        </is>
      </c>
      <c r="C2" s="2" t="n"/>
      <c r="D2" s="2" t="n"/>
      <c r="E2" s="2" t="n"/>
      <c r="F2" s="2" t="n"/>
      <c r="G2" s="2" t="n"/>
    </row>
    <row r="3">
      <c r="B3" s="19" t="inlineStr">
        <is>
          <t>Edit the YELLOW cells. All scenario columns recompute live. Inputs are exposed as Named Ranges (At_Risk_Count, ARPU, Repeat_Spend, CRM_Cost).</t>
        </is>
      </c>
      <c r="C3" s="2" t="n"/>
      <c r="D3" s="2" t="n"/>
      <c r="E3" s="2" t="n"/>
      <c r="F3" s="2" t="n"/>
      <c r="G3" s="2" t="n"/>
    </row>
    <row r="5">
      <c r="B5" s="6" t="inlineStr">
        <is>
          <t>INPUTS — edit me</t>
        </is>
      </c>
    </row>
    <row r="6">
      <c r="B6" s="10" t="inlineStr">
        <is>
          <t>Parameter</t>
        </is>
      </c>
      <c r="C6" s="10" t="inlineStr">
        <is>
          <t>Value</t>
        </is>
      </c>
      <c r="D6" s="10" t="inlineStr">
        <is>
          <t>Format</t>
        </is>
      </c>
      <c r="E6" s="10" t="inlineStr">
        <is>
          <t>Notes</t>
        </is>
      </c>
    </row>
    <row r="7">
      <c r="B7" s="14" t="inlineStr">
        <is>
          <t>At-risk customers (segment size)</t>
        </is>
      </c>
      <c r="C7" s="40" t="n">
        <v>21975</v>
      </c>
      <c r="D7" s="41" t="inlineStr">
        <is>
          <t>#,##0</t>
        </is>
      </c>
      <c r="E7" s="41" t="inlineStr">
        <is>
          <t>From RFM analysis</t>
        </is>
      </c>
    </row>
    <row r="8">
      <c r="B8" s="14" t="inlineStr">
        <is>
          <t>Avg ARPU per customer (R$)</t>
        </is>
      </c>
      <c r="C8" s="42" t="n">
        <v>213</v>
      </c>
      <c r="D8" s="41" t="inlineStr">
        <is>
          <t>0</t>
        </is>
      </c>
      <c r="E8" s="41" t="inlineStr">
        <is>
          <t>Historical average for At-Risk segment</t>
        </is>
      </c>
    </row>
    <row r="9">
      <c r="B9" s="14" t="inlineStr">
        <is>
          <t>Repeat-spend rate (% of ARPU on win-back order)</t>
        </is>
      </c>
      <c r="C9" s="43" t="n">
        <v>0.5</v>
      </c>
      <c r="D9" s="41" t="inlineStr">
        <is>
          <t>0%</t>
        </is>
      </c>
      <c r="E9" s="41" t="inlineStr">
        <is>
          <t>Conservative: assumes win-back order = 50% of historical average</t>
        </is>
      </c>
    </row>
    <row r="10">
      <c r="B10" s="14" t="inlineStr">
        <is>
          <t>Total CRM cost (R$)</t>
        </is>
      </c>
      <c r="C10" s="40" t="n">
        <v>50000</v>
      </c>
      <c r="D10" s="41" t="inlineStr">
        <is>
          <t>#,##0</t>
        </is>
      </c>
      <c r="E10" s="41" t="inlineStr">
        <is>
          <t>Email + discount voucher budget</t>
        </is>
      </c>
    </row>
    <row r="13">
      <c r="B13" s="6" t="inlineStr">
        <is>
          <t>SCENARIO OUTPUTS — recomputes live</t>
        </is>
      </c>
    </row>
    <row r="14">
      <c r="B14" s="10" t="inlineStr">
        <is>
          <t>Metric</t>
        </is>
      </c>
      <c r="C14" s="10" t="inlineStr">
        <is>
          <t>Conservative (5%)</t>
        </is>
      </c>
      <c r="D14" s="10" t="inlineStr">
        <is>
          <t>Optimistic (10%)</t>
        </is>
      </c>
      <c r="E14" s="10" t="inlineStr">
        <is>
          <t>Aggressive (20%)</t>
        </is>
      </c>
      <c r="F14" s="10" t="inlineStr">
        <is>
          <t>Custom</t>
        </is>
      </c>
    </row>
    <row r="15">
      <c r="B15" s="14" t="inlineStr">
        <is>
          <t>Recall rate (%)</t>
        </is>
      </c>
      <c r="D15" s="44" t="n">
        <v>0.05</v>
      </c>
      <c r="E15" s="44" t="n">
        <v>0.1</v>
      </c>
      <c r="F15" s="44" t="n">
        <v>0.2</v>
      </c>
      <c r="G15" s="45" t="n">
        <v>0.1</v>
      </c>
    </row>
    <row r="16">
      <c r="B16" s="14" t="inlineStr">
        <is>
          <t>Recalled customers</t>
        </is>
      </c>
      <c r="D16" s="32">
        <f>At_Risk_Count*D15</f>
        <v/>
      </c>
      <c r="E16" s="32">
        <f>At_Risk_Count*E15</f>
        <v/>
      </c>
      <c r="F16" s="32">
        <f>At_Risk_Count*F15</f>
        <v/>
      </c>
      <c r="G16" s="32">
        <f>At_Risk_Count*G15</f>
        <v/>
      </c>
    </row>
    <row r="17">
      <c r="B17" s="14" t="inlineStr">
        <is>
          <t>Incremental revenue (R$)</t>
        </is>
      </c>
      <c r="D17" s="32">
        <f>At_Risk_Count*D15*ARPU*Repeat_Spend</f>
        <v/>
      </c>
      <c r="E17" s="32">
        <f>At_Risk_Count*E15*ARPU*Repeat_Spend</f>
        <v/>
      </c>
      <c r="F17" s="32">
        <f>At_Risk_Count*F15*ARPU*Repeat_Spend</f>
        <v/>
      </c>
      <c r="G17" s="32">
        <f>At_Risk_Count*G15*ARPU*Repeat_Spend</f>
        <v/>
      </c>
    </row>
    <row r="18">
      <c r="B18" s="14" t="inlineStr">
        <is>
          <t>CRM cost (R$)</t>
        </is>
      </c>
      <c r="D18" s="32">
        <f>CRM_Cost</f>
        <v/>
      </c>
      <c r="E18" s="32">
        <f>CRM_Cost</f>
        <v/>
      </c>
      <c r="F18" s="32">
        <f>CRM_Cost</f>
        <v/>
      </c>
      <c r="G18" s="32">
        <f>CRM_Cost</f>
        <v/>
      </c>
    </row>
    <row r="19">
      <c r="B19" s="14" t="inlineStr">
        <is>
          <t>Net contribution (R$)</t>
        </is>
      </c>
      <c r="D19" s="46">
        <f>D17-D18</f>
        <v/>
      </c>
      <c r="E19" s="46">
        <f>E17-E18</f>
        <v/>
      </c>
      <c r="F19" s="46">
        <f>F17-F18</f>
        <v/>
      </c>
      <c r="G19" s="46">
        <f>G17-G18</f>
        <v/>
      </c>
    </row>
    <row r="20">
      <c r="B20" s="47" t="inlineStr">
        <is>
          <t>ROI (×)</t>
        </is>
      </c>
      <c r="D20" s="48">
        <f>D17/D18</f>
        <v/>
      </c>
      <c r="E20" s="48">
        <f>E17/E18</f>
        <v/>
      </c>
      <c r="F20" s="48">
        <f>F17/F18</f>
        <v/>
      </c>
      <c r="G20" s="48">
        <f>G17/G18</f>
        <v/>
      </c>
    </row>
    <row r="22">
      <c r="B22" s="6" t="inlineStr">
        <is>
          <t>FORMULA</t>
        </is>
      </c>
    </row>
    <row r="23">
      <c r="B23" s="49" t="inlineStr">
        <is>
          <t>Incremental revenue  =  At_Risk_Count × Recall rate × ARPU × Repeat_Spend</t>
        </is>
      </c>
    </row>
    <row r="24">
      <c r="B24" s="49" t="inlineStr">
        <is>
          <t>ROI                  =  Incremental revenue ÷ CRM_Cost</t>
        </is>
      </c>
    </row>
    <row r="26">
      <c r="B26" s="6" t="inlineStr">
        <is>
          <t>ACTION PRIORITY</t>
        </is>
      </c>
    </row>
    <row r="27">
      <c r="B27" s="36" t="inlineStr">
        <is>
          <t>1. Wave 1: personalized EDM by historical category to all 21,975 at-risk customers (~R$ 50K)</t>
        </is>
      </c>
    </row>
    <row r="28">
      <c r="B28" s="36" t="inlineStr">
        <is>
          <t>2. Track funnel: open → click → conversion → incremental revenue vs. holdout</t>
        </is>
      </c>
    </row>
    <row r="29">
      <c r="B29" s="36" t="inlineStr">
        <is>
          <t>3. If recall rate &gt; 8%: 2× budget, add SMS + retargeting touchpoints</t>
        </is>
      </c>
    </row>
    <row r="30">
      <c r="B30" s="36" t="inlineStr">
        <is>
          <t>4. If recall rate &lt; 3%: switch lever from discount to free shipping (esp. for remote states)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5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8" customWidth="1" min="4" max="4"/>
    <col width="14" customWidth="1" min="5" max="5"/>
    <col width="18" customWidth="1" min="6" max="6"/>
    <col width="2" customWidth="1" min="7" max="7"/>
  </cols>
  <sheetData>
    <row r="2">
      <c r="B2" s="18" t="inlineStr">
        <is>
          <t>Brazil's Installment Culture — The Hidden CRM Lever</t>
        </is>
      </c>
      <c r="C2" s="2" t="n"/>
      <c r="D2" s="2" t="n"/>
      <c r="E2" s="2" t="n"/>
      <c r="F2" s="2" t="n"/>
    </row>
    <row r="3">
      <c r="B3" s="19" t="inlineStr">
        <is>
          <t>73.9% of orders use credit_card, avg 3.5 installments. Question: does longer financing → higher AOV and higher repeat?</t>
        </is>
      </c>
      <c r="C3" s="2" t="n"/>
      <c r="D3" s="2" t="n"/>
      <c r="E3" s="2" t="n"/>
      <c r="F3" s="2" t="n"/>
    </row>
    <row r="5">
      <c r="B5" s="10" t="inlineStr">
        <is>
          <t>Installment bucket</t>
        </is>
      </c>
      <c r="C5" s="10" t="inlineStr">
        <is>
          <t>Orders</t>
        </is>
      </c>
      <c r="D5" s="10" t="inlineStr">
        <is>
          <t>Avg ticket (R$)</t>
        </is>
      </c>
      <c r="E5" s="10" t="inlineStr">
        <is>
          <t>Customers</t>
        </is>
      </c>
      <c r="F5" s="10" t="inlineStr">
        <is>
          <t>Repeat rate</t>
        </is>
      </c>
    </row>
    <row r="6">
      <c r="B6" s="33">
        <f>_data_calc!A64</f>
        <v/>
      </c>
      <c r="C6" s="23">
        <f>_data_calc!B64</f>
        <v/>
      </c>
      <c r="D6" s="37">
        <f>_data_calc!C64</f>
        <v/>
      </c>
      <c r="E6" s="23">
        <f>_data_calc!D64</f>
        <v/>
      </c>
      <c r="F6" s="50">
        <f>_data_calc!E64</f>
        <v/>
      </c>
    </row>
    <row r="7">
      <c r="B7" s="33">
        <f>_data_calc!A65</f>
        <v/>
      </c>
      <c r="C7" s="23">
        <f>_data_calc!B65</f>
        <v/>
      </c>
      <c r="D7" s="37">
        <f>_data_calc!C65</f>
        <v/>
      </c>
      <c r="E7" s="23">
        <f>_data_calc!D65</f>
        <v/>
      </c>
      <c r="F7" s="50">
        <f>_data_calc!E65</f>
        <v/>
      </c>
    </row>
    <row r="8">
      <c r="B8" s="33">
        <f>_data_calc!A66</f>
        <v/>
      </c>
      <c r="C8" s="23">
        <f>_data_calc!B66</f>
        <v/>
      </c>
      <c r="D8" s="37">
        <f>_data_calc!C66</f>
        <v/>
      </c>
      <c r="E8" s="23">
        <f>_data_calc!D66</f>
        <v/>
      </c>
      <c r="F8" s="50">
        <f>_data_calc!E66</f>
        <v/>
      </c>
    </row>
    <row r="9">
      <c r="B9" s="33">
        <f>_data_calc!A67</f>
        <v/>
      </c>
      <c r="C9" s="23">
        <f>_data_calc!B67</f>
        <v/>
      </c>
      <c r="D9" s="37">
        <f>_data_calc!C67</f>
        <v/>
      </c>
      <c r="E9" s="23">
        <f>_data_calc!D67</f>
        <v/>
      </c>
      <c r="F9" s="50">
        <f>_data_calc!E67</f>
        <v/>
      </c>
    </row>
    <row r="10">
      <c r="B10" s="33">
        <f>_data_calc!A68</f>
        <v/>
      </c>
      <c r="C10" s="23">
        <f>_data_calc!B68</f>
        <v/>
      </c>
      <c r="D10" s="37">
        <f>_data_calc!C68</f>
        <v/>
      </c>
      <c r="E10" s="23">
        <f>_data_calc!D68</f>
        <v/>
      </c>
      <c r="F10" s="50">
        <f>_data_calc!E68</f>
        <v/>
      </c>
    </row>
    <row r="51">
      <c r="B51" s="6" t="inlineStr">
        <is>
          <t>TWO FINDINGS &amp; FOUR LEVERS</t>
        </is>
      </c>
    </row>
    <row r="52">
      <c r="B52" s="36" t="inlineStr">
        <is>
          <t>• Revenue lever — 7-10 installments AOV is 3.48× single payment (R$ 334 vs R$ 96). Linear, no inversion.</t>
        </is>
      </c>
    </row>
    <row r="53">
      <c r="B53" s="36" t="inlineStr">
        <is>
          <t>• Retention lever — 7-10 installment customers repeat 65% more often (4.13% vs 2.51%).</t>
        </is>
      </c>
    </row>
    <row r="54">
      <c r="B54" s="36" t="inlineStr">
        <is>
          <t>• Why? Multi-month installment ledger keeps customers transactionally engaged → invisible CRM.</t>
        </is>
      </c>
    </row>
    <row r="55">
      <c r="B55" s="36" t="inlineStr">
        <is>
          <t>• Action 1: promote 7+ installment plans on home + checkout (currently only 15% of credit-card orders).</t>
        </is>
      </c>
    </row>
    <row r="56">
      <c r="B56" s="36" t="inlineStr">
        <is>
          <t>• Action 2: send 'no-interest installment' EDM to single-payment customers on second visit.</t>
        </is>
      </c>
    </row>
    <row r="57">
      <c r="B57" s="36" t="inlineStr">
        <is>
          <t>• Action 3: negotiate longer interest-free terms with issuers (8 months sweet spot, n=4,268; test 12).</t>
        </is>
      </c>
    </row>
    <row r="58">
      <c r="B58" s="36" t="inlineStr">
        <is>
          <t>• Caveat: causality not proven — could be 'high ticket → must installment'. A/B test installment availability on same SKU page.</t>
        </is>
      </c>
    </row>
  </sheetData>
  <conditionalFormatting sqref="D6:D10">
    <cfRule type="dataBar" priority="1">
      <dataBar showValue="1">
        <cfvo type="min"/>
        <cfvo type="max"/>
        <color rgb="002E8B8B"/>
      </dataBar>
    </cfRule>
  </conditionalFormatting>
  <conditionalFormatting sqref="F6:F10">
    <cfRule type="iconSet" priority="2">
      <iconSet iconSet="3TrafficLights1" showValue="1">
        <cfvo type="percent" val="0"/>
        <cfvo type="percent" val="33"/>
        <cfvo type="percent" val="67"/>
      </iconSet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18" customWidth="1" min="4" max="4"/>
    <col width="18" customWidth="1" min="5" max="5"/>
    <col width="2" customWidth="1" min="6" max="6"/>
  </cols>
  <sheetData>
    <row r="2">
      <c r="B2" s="18" t="inlineStr">
        <is>
          <t>Logistics — Estimated vs Actual Delivery (by State)</t>
        </is>
      </c>
      <c r="C2" s="2" t="n"/>
      <c r="D2" s="2" t="n"/>
      <c r="E2" s="2" t="n"/>
    </row>
    <row r="3">
      <c r="B3" s="19" t="inlineStr">
        <is>
          <t>National avg actual = 15.4 days. ETA avg = 24 days. Platform under-promises by 36% — opportunity to tighten ETA messaging.</t>
        </is>
      </c>
      <c r="C3" s="2" t="n"/>
      <c r="D3" s="2" t="n"/>
      <c r="E3" s="2" t="n"/>
    </row>
    <row r="5">
      <c r="B5" s="10" t="inlineStr">
        <is>
          <t>State</t>
        </is>
      </c>
      <c r="C5" s="10" t="inlineStr">
        <is>
          <t>Actual days</t>
        </is>
      </c>
      <c r="D5" s="10" t="inlineStr">
        <is>
          <t>Estimated days</t>
        </is>
      </c>
      <c r="E5" s="10" t="inlineStr">
        <is>
          <t>ETA gap (days)</t>
        </is>
      </c>
    </row>
    <row r="6">
      <c r="B6" s="14">
        <f>_data_calc!A73</f>
        <v/>
      </c>
      <c r="C6" s="35">
        <f>_data_calc!B73</f>
        <v/>
      </c>
      <c r="D6" s="35">
        <f>_data_calc!C73</f>
        <v/>
      </c>
      <c r="E6" s="35">
        <f>_data_calc!D73</f>
        <v/>
      </c>
    </row>
    <row r="7">
      <c r="B7" s="14">
        <f>_data_calc!A74</f>
        <v/>
      </c>
      <c r="C7" s="35">
        <f>_data_calc!B74</f>
        <v/>
      </c>
      <c r="D7" s="35">
        <f>_data_calc!C74</f>
        <v/>
      </c>
      <c r="E7" s="35">
        <f>_data_calc!D74</f>
        <v/>
      </c>
    </row>
    <row r="8">
      <c r="B8" s="14">
        <f>_data_calc!A75</f>
        <v/>
      </c>
      <c r="C8" s="35">
        <f>_data_calc!B75</f>
        <v/>
      </c>
      <c r="D8" s="35">
        <f>_data_calc!C75</f>
        <v/>
      </c>
      <c r="E8" s="35">
        <f>_data_calc!D75</f>
        <v/>
      </c>
    </row>
    <row r="9">
      <c r="B9" s="14">
        <f>_data_calc!A76</f>
        <v/>
      </c>
      <c r="C9" s="35">
        <f>_data_calc!B76</f>
        <v/>
      </c>
      <c r="D9" s="35">
        <f>_data_calc!C76</f>
        <v/>
      </c>
      <c r="E9" s="35">
        <f>_data_calc!D76</f>
        <v/>
      </c>
    </row>
    <row r="10">
      <c r="B10" s="14">
        <f>_data_calc!A77</f>
        <v/>
      </c>
      <c r="C10" s="35">
        <f>_data_calc!B77</f>
        <v/>
      </c>
      <c r="D10" s="35">
        <f>_data_calc!C77</f>
        <v/>
      </c>
      <c r="E10" s="35">
        <f>_data_calc!D77</f>
        <v/>
      </c>
    </row>
    <row r="11">
      <c r="B11" s="14">
        <f>_data_calc!A78</f>
        <v/>
      </c>
      <c r="C11" s="35">
        <f>_data_calc!B78</f>
        <v/>
      </c>
      <c r="D11" s="35">
        <f>_data_calc!C78</f>
        <v/>
      </c>
      <c r="E11" s="35">
        <f>_data_calc!D78</f>
        <v/>
      </c>
    </row>
    <row r="12">
      <c r="B12" s="14">
        <f>_data_calc!A79</f>
        <v/>
      </c>
      <c r="C12" s="35">
        <f>_data_calc!B79</f>
        <v/>
      </c>
      <c r="D12" s="35">
        <f>_data_calc!C79</f>
        <v/>
      </c>
      <c r="E12" s="35">
        <f>_data_calc!D79</f>
        <v/>
      </c>
    </row>
    <row r="13">
      <c r="B13" s="14">
        <f>_data_calc!A80</f>
        <v/>
      </c>
      <c r="C13" s="35">
        <f>_data_calc!B80</f>
        <v/>
      </c>
      <c r="D13" s="35">
        <f>_data_calc!C80</f>
        <v/>
      </c>
      <c r="E13" s="35">
        <f>_data_calc!D80</f>
        <v/>
      </c>
    </row>
    <row r="14">
      <c r="B14" s="14">
        <f>_data_calc!A81</f>
        <v/>
      </c>
      <c r="C14" s="35">
        <f>_data_calc!B81</f>
        <v/>
      </c>
      <c r="D14" s="35">
        <f>_data_calc!C81</f>
        <v/>
      </c>
      <c r="E14" s="35">
        <f>_data_calc!D81</f>
        <v/>
      </c>
    </row>
    <row r="15">
      <c r="B15" s="14">
        <f>_data_calc!A82</f>
        <v/>
      </c>
      <c r="C15" s="35">
        <f>_data_calc!B82</f>
        <v/>
      </c>
      <c r="D15" s="35">
        <f>_data_calc!C82</f>
        <v/>
      </c>
      <c r="E15" s="35">
        <f>_data_calc!D82</f>
        <v/>
      </c>
    </row>
    <row r="16">
      <c r="B16" s="14">
        <f>_data_calc!A83</f>
        <v/>
      </c>
      <c r="C16" s="35">
        <f>_data_calc!B83</f>
        <v/>
      </c>
      <c r="D16" s="35">
        <f>_data_calc!C83</f>
        <v/>
      </c>
      <c r="E16" s="35">
        <f>_data_calc!D83</f>
        <v/>
      </c>
    </row>
    <row r="17">
      <c r="B17" s="14">
        <f>_data_calc!A84</f>
        <v/>
      </c>
      <c r="C17" s="35">
        <f>_data_calc!B84</f>
        <v/>
      </c>
      <c r="D17" s="35">
        <f>_data_calc!C84</f>
        <v/>
      </c>
      <c r="E17" s="35">
        <f>_data_calc!D84</f>
        <v/>
      </c>
    </row>
    <row r="18">
      <c r="B18" s="14">
        <f>_data_calc!A85</f>
        <v/>
      </c>
      <c r="C18" s="35">
        <f>_data_calc!B85</f>
        <v/>
      </c>
      <c r="D18" s="35">
        <f>_data_calc!C85</f>
        <v/>
      </c>
      <c r="E18" s="35">
        <f>_data_calc!D85</f>
        <v/>
      </c>
    </row>
    <row r="19">
      <c r="B19" s="14">
        <f>_data_calc!A86</f>
        <v/>
      </c>
      <c r="C19" s="35">
        <f>_data_calc!B86</f>
        <v/>
      </c>
      <c r="D19" s="35">
        <f>_data_calc!C86</f>
        <v/>
      </c>
      <c r="E19" s="35">
        <f>_data_calc!D86</f>
        <v/>
      </c>
    </row>
    <row r="20">
      <c r="B20" s="14">
        <f>_data_calc!A87</f>
        <v/>
      </c>
      <c r="C20" s="35">
        <f>_data_calc!B87</f>
        <v/>
      </c>
      <c r="D20" s="35">
        <f>_data_calc!C87</f>
        <v/>
      </c>
      <c r="E20" s="35">
        <f>_data_calc!D87</f>
        <v/>
      </c>
    </row>
    <row r="23">
      <c r="B23" s="6" t="inlineStr">
        <is>
          <t>LOGISTICS INSIGHTS</t>
        </is>
      </c>
    </row>
    <row r="24">
      <c r="B24" s="36" t="inlineStr">
        <is>
          <t>• SP (8.8d) vs RN (19.3d) = 2.2× state-level gap. Replicate SP fulfillment model in high-order states.</t>
        </is>
      </c>
    </row>
    <row r="25">
      <c r="B25" s="36" t="inlineStr">
        <is>
          <t>• Platform-wide ETA is conservative by 36%. Marketing pages can show tighter promises → conversion lift.</t>
        </is>
      </c>
    </row>
    <row r="26">
      <c r="B26" s="36" t="inlineStr">
        <is>
          <t>• Cross-analyze 1-star reviews with delivery delay &gt; ETA to quantify NPS impact.</t>
        </is>
      </c>
    </row>
    <row r="27">
      <c r="B27" s="36" t="inlineStr">
        <is>
          <t>• Remote states need free-shipping levers (per ROI sheet's 'switch to free shipping' branch).</t>
        </is>
      </c>
    </row>
  </sheetData>
  <conditionalFormatting sqref="E6:E2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C20">
    <cfRule type="dataBar" priority="2">
      <dataBar showValue="1">
        <cfvo type="min"/>
        <cfvo type="max"/>
        <color rgb="002E8B8B"/>
      </dataBar>
    </cfRule>
  </conditionalFormatting>
  <conditionalFormatting sqref="D6:D20">
    <cfRule type="dataBar" priority="3">
      <dataBar showValue="1">
        <cfvo type="min"/>
        <cfvo type="max"/>
        <color rgb="00E07B39"/>
      </dataBar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D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60" customWidth="1" min="3" max="3"/>
    <col width="30" customWidth="1" min="4" max="4"/>
    <col width="2" customWidth="1" min="5" max="5"/>
  </cols>
  <sheetData>
    <row r="2">
      <c r="B2" s="18" t="inlineStr">
        <is>
          <t>Methodology &amp; Tech Stack</t>
        </is>
      </c>
      <c r="C2" s="2" t="n"/>
      <c r="D2" s="2" t="n"/>
    </row>
    <row r="4">
      <c r="B4" s="6" t="inlineStr">
        <is>
          <t>Tech stack &amp; why</t>
        </is>
      </c>
    </row>
    <row r="5">
      <c r="B5" s="10" t="inlineStr">
        <is>
          <t>Tool</t>
        </is>
      </c>
      <c r="C5" s="10" t="inlineStr">
        <is>
          <t>Role</t>
        </is>
      </c>
    </row>
    <row r="6">
      <c r="B6" s="14" t="inlineStr">
        <is>
          <t>Python 3.12</t>
        </is>
      </c>
      <c r="C6" s="16" t="inlineStr">
        <is>
          <t>Glue language for ETL + analysis</t>
        </is>
      </c>
    </row>
    <row r="7">
      <c r="B7" s="14" t="inlineStr">
        <is>
          <t>SQLite + SQL</t>
        </is>
      </c>
      <c r="C7" s="16" t="inlineStr">
        <is>
          <t>9-table schema; SQL Window Functions for RFM (NTILE)</t>
        </is>
      </c>
    </row>
    <row r="8">
      <c r="B8" s="14" t="inlineStr">
        <is>
          <t>pandas</t>
        </is>
      </c>
      <c r="C8" s="16" t="inlineStr">
        <is>
          <t>Cohort matrix + installment bucketing</t>
        </is>
      </c>
    </row>
    <row r="9">
      <c r="B9" s="14" t="inlineStr">
        <is>
          <t>matplotlib</t>
        </is>
      </c>
      <c r="C9" s="16" t="inlineStr">
        <is>
          <t>Static portfolio charts (cohort, installments)</t>
        </is>
      </c>
    </row>
    <row r="10">
      <c r="B10" s="14" t="inlineStr">
        <is>
          <t>Streamlit</t>
        </is>
      </c>
      <c r="C10" s="16" t="inlineStr">
        <is>
          <t>Interactive 5-page dashboard with ROI calculator</t>
        </is>
      </c>
    </row>
    <row r="11">
      <c r="B11" s="14" t="inlineStr">
        <is>
          <t>Tableau Public</t>
        </is>
      </c>
      <c r="C11" s="16" t="inlineStr">
        <is>
          <t>Stakeholder-facing dashboard</t>
        </is>
      </c>
    </row>
    <row r="12">
      <c r="B12" s="14" t="inlineStr">
        <is>
          <t>openpyxl</t>
        </is>
      </c>
      <c r="C12" s="16" t="inlineStr">
        <is>
          <t>This Excel portfolio (Tables, formulas, conditional formatting)</t>
        </is>
      </c>
    </row>
    <row r="14">
      <c r="B14" s="6" t="inlineStr">
        <is>
          <t>Core SQL — RFM with NTILE Window Function</t>
        </is>
      </c>
    </row>
    <row r="15" ht="380" customHeight="1">
      <c r="B15" s="51" t="inlineStr">
        <is>
          <t>WITH snapshot AS (
    SELECT MAX(order_purchase_timestamp) AS snapshot_date
    FROM orders WHERE order_status = 'delivered'
),
rfm_base AS (
    SELECT c.customer_unique_id,
           ROUND(JULIANDAY((SELECT snapshot_date FROM snapshot))
                 - JULIANDAY(MAX(o.order_purchase_timestamp)), 0) AS recency_days,
           COUNT(DISTINCT o.order_id) AS frequency,
           ROUND(SUM(oi.price), 2)    AS monetary
    FROM orders o
    JOIN order_items oi ON o.order_id = oi.order_id
    JOIN customers   c  ON o.customer_id = c.customer_id
    WHERE o.order_status = 'delivered'
    GROUP BY c.customer_unique_id
),
rfm_scored AS (
    SELECT *,
        NTILE(5) OVER (ORDER BY recency_days DESC) AS r_score,
        NTILE(5) OVER (ORDER BY frequency    ASC ) AS f_score,
        NTILE(5) OVER (ORDER BY monetary     ASC ) AS m_score
    FROM rfm_base
)
SELECT CASE
    WHEN r_score&gt;=4 AND f_score&gt;=4 AND m_score&gt;=4 THEN 'Champions'
    WHEN r_score&gt;=4 AND f_score&gt;=3                THEN 'Loyal'
    WHEN r_score&gt;=4                               THEN 'Potential New'
    WHEN r_score&lt;=2 AND f_score&gt;=3                THEN 'At Risk'
    WHEN r_score&lt;=2                               THEN 'Lost'
    ELSE                                                'Average'
END AS segment, COUNT(*) AS customers, ROUND(AVG(monetary),2) AS arpu,
  ROUND(SUM(monetary),2) AS revenue
FROM rfm_scored GROUP BY segment ORDER BY revenue DESC;</t>
        </is>
      </c>
    </row>
    <row r="17">
      <c r="B17" s="6" t="inlineStr">
        <is>
          <t>Why NTILE (SQL) over pandas qcut</t>
        </is>
      </c>
    </row>
    <row r="18">
      <c r="B18" s="10" t="inlineStr">
        <is>
          <t>Dimension</t>
        </is>
      </c>
      <c r="C18" s="10" t="inlineStr">
        <is>
          <t>NTILE (SQL)</t>
        </is>
      </c>
      <c r="D18" s="10" t="inlineStr">
        <is>
          <t>pandas qcut</t>
        </is>
      </c>
    </row>
    <row r="19">
      <c r="B19" s="14" t="inlineStr">
        <is>
          <t>Portability</t>
        </is>
      </c>
      <c r="C19" s="16" t="inlineStr">
        <is>
          <t>Snowflake / BigQuery / Redshift / SQLite all run identical SQL</t>
        </is>
      </c>
      <c r="D19" s="16" t="inlineStr">
        <is>
          <t>Python only</t>
        </is>
      </c>
    </row>
    <row r="20">
      <c r="B20" s="14" t="inlineStr">
        <is>
          <t>Scale</t>
        </is>
      </c>
      <c r="C20" s="16" t="inlineStr">
        <is>
          <t>Runs in DB — handles tens of millions of rows</t>
        </is>
      </c>
      <c r="D20" s="16" t="inlineStr">
        <is>
          <t>Pulls all rows into Python memory</t>
        </is>
      </c>
    </row>
    <row r="21">
      <c r="B21" s="14" t="inlineStr">
        <is>
          <t>Orchestration</t>
        </is>
      </c>
      <c r="C21" s="16" t="inlineStr">
        <is>
          <t>Slots into dbt / Airflow</t>
        </is>
      </c>
      <c r="D21" s="16" t="inlineStr">
        <is>
          <t>Needs custom wrapper</t>
        </is>
      </c>
    </row>
    <row r="22">
      <c r="B22" s="14" t="inlineStr">
        <is>
          <t>Hiring signal</t>
        </is>
      </c>
      <c r="C22" s="16" t="inlineStr">
        <is>
          <t>'Knows the warehouse' = senior signal</t>
        </is>
      </c>
      <c r="D22" s="16" t="inlineStr">
        <is>
          <t>'Knows pandas' = junior signal</t>
        </is>
      </c>
    </row>
    <row r="24">
      <c r="B24" s="6" t="inlineStr">
        <is>
          <t>Caveats &amp; next steps (honest disclosure)</t>
        </is>
      </c>
    </row>
    <row r="25">
      <c r="B25" s="36" t="inlineStr">
        <is>
          <t>• F dimension has near-zero variance — segmentation is effectively R × M. Acknowledged in v1.</t>
        </is>
      </c>
    </row>
    <row r="26">
      <c r="B26" s="36" t="inlineStr">
        <is>
          <t>• 'Loyal' segment ARPU is low (R$ 89) because the rule sets R≥4, F≥3 without M floor — v2 adds M condition.</t>
        </is>
      </c>
    </row>
    <row r="27">
      <c r="B27" s="36" t="inlineStr">
        <is>
          <t>• 2018 data truncated at 2018-10. Apparent post-Sep dip is data cutoff, not real decline.</t>
        </is>
      </c>
    </row>
    <row r="28">
      <c r="B28" s="36" t="inlineStr">
        <is>
          <t>• Causality between installments → AOV not established — needs A/B test on identical SKU pages.</t>
        </is>
      </c>
    </row>
    <row r="29">
      <c r="B29" s="36" t="inlineStr">
        <is>
          <t>• Next: review-score vs. delivery-delay correlation (Pearson/Spearman); Prophet/ARIMA forecast.</t>
        </is>
      </c>
    </row>
    <row r="32">
      <c r="B32" s="6" t="inlineStr">
        <is>
          <t>Upgrade path to Power Query / Power Pivot (manual)</t>
        </is>
      </c>
    </row>
    <row r="33">
      <c r="B33" s="36" t="inlineStr">
        <is>
          <t>• Power Query (ETL): Data → Get Data → From Folder → point at /data → load each CSV as a Query → use the ribbon to remove unused cols, rename, set types. Saves 'M' code that re-runs on Refresh All.</t>
        </is>
      </c>
    </row>
    <row r="34">
      <c r="B34" s="36" t="inlineStr">
        <is>
          <t>• Power Pivot (model): File → Options → Add-ins → Power Pivot. Add each Query to Data Model. Build relationships: orders[customer_id]→customers, items[order_id]→orders, payments[order_id]→orders.</t>
        </is>
      </c>
    </row>
    <row r="35">
      <c r="B35" s="36" t="inlineStr">
        <is>
          <t>• DAX measures: in Power Pivot, write `Total Revenue := SUMX(items, items[price] + items[freight_value])`, `AOV := DIVIDE([Total Revenue], DISTINCTCOUNT(orders[order_id]))`, `Repeat % := …`.</t>
        </is>
      </c>
    </row>
    <row r="36">
      <c r="B36" s="36" t="inlineStr">
        <is>
          <t>• KPI cards: on dashboard sheets use `=CUBEVALUE("ThisWorkbookDataModel", "[Measures].[Total Revenue]")` instead of literal numbers. Reviewer presses Refresh All → entire workbook re-computes from raw.</t>
        </is>
      </c>
    </row>
    <row r="37">
      <c r="B37" s="36" t="inlineStr">
        <is>
          <t>• Why this matters: openpyxl can build Tables / Conditional Formatting / Named Ranges / Formulas, but Power Query and Power Pivot live in Excel's UI and are the senior-analyst signal.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O13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22" customWidth="1" min="3" max="3"/>
    <col width="22" customWidth="1" min="4" max="4"/>
    <col width="22" customWidth="1" min="5" max="5"/>
    <col width="14" customWidth="1" min="6" max="6"/>
    <col width="14" customWidth="1" min="7" max="7"/>
    <col width="14" customWidth="1" min="8" max="8"/>
    <col width="4" customWidth="1" min="9" max="9"/>
    <col width="14" customWidth="1" min="10" max="10"/>
    <col width="14" customWidth="1" min="11" max="11"/>
    <col width="12" customWidth="1" min="12" max="12"/>
    <col width="4" customWidth="1" min="13" max="13"/>
    <col width="26" customWidth="1" min="14" max="14"/>
    <col width="26" customWidth="1" min="15" max="15"/>
    <col width="2" customWidth="1" min="16" max="16"/>
  </cols>
  <sheetData>
    <row r="2">
      <c r="B2" s="18" t="inlineStr">
        <is>
          <t>Lookup &amp; Pivot Demo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B3" s="19" t="inlineStr">
        <is>
          <t>Three ways to do the same lookup (row 8-12) + a SUMIFS pivot (row 25+).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5">
      <c r="B5" s="6" t="inlineStr">
        <is>
          <t>A. Lookup demo — translate PT category → EN, three ways</t>
        </is>
      </c>
      <c r="N5" s="4" t="inlineStr">
        <is>
          <t>Source: tbl_category_translation</t>
        </is>
      </c>
    </row>
    <row r="6">
      <c r="B6" s="52" t="inlineStr">
        <is>
          <t>Goal: given a Portuguese category name, return its English label. Three formulas below produce the same answer.</t>
        </is>
      </c>
      <c r="N6" s="10" t="inlineStr">
        <is>
          <t>PT name</t>
        </is>
      </c>
      <c r="O6" s="10" t="inlineStr">
        <is>
          <t>EN name</t>
        </is>
      </c>
    </row>
    <row r="7">
      <c r="B7" s="10" t="inlineStr">
        <is>
          <t>PT input</t>
        </is>
      </c>
      <c r="C7" s="10" t="inlineStr">
        <is>
          <t>VLOOKUP result</t>
        </is>
      </c>
      <c r="D7" s="10" t="inlineStr">
        <is>
          <t>INDEX/MATCH result</t>
        </is>
      </c>
      <c r="E7" s="10" t="inlineStr">
        <is>
          <t>XLOOKUP result</t>
        </is>
      </c>
      <c r="N7" s="53" t="inlineStr">
        <is>
          <t>beleza_saude</t>
        </is>
      </c>
      <c r="O7" s="53" t="inlineStr">
        <is>
          <t>health_beauty</t>
        </is>
      </c>
    </row>
    <row r="8">
      <c r="B8" s="53" t="inlineStr">
        <is>
          <t>beleza_saude</t>
        </is>
      </c>
      <c r="C8" s="53">
        <f>VLOOKUP(B8,$N$7:$O$77,2,FALSE)</f>
        <v/>
      </c>
      <c r="D8" s="53">
        <f>INDEX($O$7:$O$77,MATCH(B8,$N$7:$N$77,0))</f>
        <v/>
      </c>
      <c r="E8" s="53">
        <f>_xlfn.XLOOKUP(B8,$N$7:$N$77,$O$7:$O$77,"not found")</f>
        <v/>
      </c>
      <c r="N8" s="53" t="inlineStr">
        <is>
          <t>informatica_acessorios</t>
        </is>
      </c>
      <c r="O8" s="53" t="inlineStr">
        <is>
          <t>computers_accessories</t>
        </is>
      </c>
    </row>
    <row r="9">
      <c r="B9" s="53" t="inlineStr">
        <is>
          <t>informatica_acessorios</t>
        </is>
      </c>
      <c r="C9" s="53">
        <f>VLOOKUP(B9,$N$7:$O$77,2,FALSE)</f>
        <v/>
      </c>
      <c r="D9" s="53">
        <f>INDEX($O$7:$O$77,MATCH(B9,$N$7:$N$77,0))</f>
        <v/>
      </c>
      <c r="E9" s="53">
        <f>_xlfn.XLOOKUP(B9,$N$7:$N$77,$O$7:$O$77,"not found")</f>
        <v/>
      </c>
      <c r="N9" s="53" t="inlineStr">
        <is>
          <t>automotivo</t>
        </is>
      </c>
      <c r="O9" s="53" t="inlineStr">
        <is>
          <t>auto</t>
        </is>
      </c>
    </row>
    <row r="10">
      <c r="B10" s="53" t="inlineStr">
        <is>
          <t>automotivo</t>
        </is>
      </c>
      <c r="C10" s="53">
        <f>VLOOKUP(B10,$N$7:$O$77,2,FALSE)</f>
        <v/>
      </c>
      <c r="D10" s="53">
        <f>INDEX($O$7:$O$77,MATCH(B10,$N$7:$N$77,0))</f>
        <v/>
      </c>
      <c r="E10" s="53">
        <f>_xlfn.XLOOKUP(B10,$N$7:$N$77,$O$7:$O$77,"not found")</f>
        <v/>
      </c>
      <c r="N10" s="53" t="inlineStr">
        <is>
          <t>cama_mesa_banho</t>
        </is>
      </c>
      <c r="O10" s="53" t="inlineStr">
        <is>
          <t>bed_bath_table</t>
        </is>
      </c>
    </row>
    <row r="11">
      <c r="B11" s="53" t="inlineStr">
        <is>
          <t>cama_mesa_banho</t>
        </is>
      </c>
      <c r="C11" s="53">
        <f>VLOOKUP(B11,$N$7:$O$77,2,FALSE)</f>
        <v/>
      </c>
      <c r="D11" s="53">
        <f>INDEX($O$7:$O$77,MATCH(B11,$N$7:$N$77,0))</f>
        <v/>
      </c>
      <c r="E11" s="53">
        <f>_xlfn.XLOOKUP(B11,$N$7:$N$77,$O$7:$O$77,"not found")</f>
        <v/>
      </c>
      <c r="N11" s="53" t="inlineStr">
        <is>
          <t>moveis_decoracao</t>
        </is>
      </c>
      <c r="O11" s="53" t="inlineStr">
        <is>
          <t>furniture_decor</t>
        </is>
      </c>
    </row>
    <row r="12">
      <c r="B12" s="53" t="inlineStr">
        <is>
          <t>moveis_decoracao</t>
        </is>
      </c>
      <c r="C12" s="53">
        <f>VLOOKUP(B12,$N$7:$O$77,2,FALSE)</f>
        <v/>
      </c>
      <c r="D12" s="53">
        <f>INDEX($O$7:$O$77,MATCH(B12,$N$7:$N$77,0))</f>
        <v/>
      </c>
      <c r="E12" s="53">
        <f>_xlfn.XLOOKUP(B12,$N$7:$N$77,$O$7:$O$77,"not found")</f>
        <v/>
      </c>
      <c r="N12" s="53" t="inlineStr">
        <is>
          <t>esporte_lazer</t>
        </is>
      </c>
      <c r="O12" s="53" t="inlineStr">
        <is>
          <t>sports_leisure</t>
        </is>
      </c>
    </row>
    <row r="13">
      <c r="N13" s="53" t="inlineStr">
        <is>
          <t>perfumaria</t>
        </is>
      </c>
      <c r="O13" s="53" t="inlineStr">
        <is>
          <t>perfumery</t>
        </is>
      </c>
    </row>
    <row r="14">
      <c r="B14" s="6" t="inlineStr">
        <is>
          <t>When to use which</t>
        </is>
      </c>
      <c r="N14" s="53" t="inlineStr">
        <is>
          <t>utilidades_domesticas</t>
        </is>
      </c>
      <c r="O14" s="53" t="inlineStr">
        <is>
          <t>housewares</t>
        </is>
      </c>
    </row>
    <row r="15">
      <c r="B15" s="10" t="inlineStr">
        <is>
          <t>Function</t>
        </is>
      </c>
      <c r="C15" s="10" t="inlineStr">
        <is>
          <t>Excel version</t>
        </is>
      </c>
      <c r="D15" s="10" t="inlineStr">
        <is>
          <t>When to use</t>
        </is>
      </c>
      <c r="E15" s="10" t="inlineStr">
        <is>
          <t>Trade-off</t>
        </is>
      </c>
      <c r="N15" s="53" t="inlineStr">
        <is>
          <t>telefonia</t>
        </is>
      </c>
      <c r="O15" s="53" t="inlineStr">
        <is>
          <t>telephony</t>
        </is>
      </c>
    </row>
    <row r="16">
      <c r="B16" s="22" t="inlineStr">
        <is>
          <t>VLOOKUP</t>
        </is>
      </c>
      <c r="C16" s="54" t="inlineStr">
        <is>
          <t>Any (since 2007)</t>
        </is>
      </c>
      <c r="D16" s="55" t="inlineStr">
        <is>
          <t>Quick lookup when key is in the leftmost column of the source table</t>
        </is>
      </c>
      <c r="E16" s="55" t="inlineStr">
        <is>
          <t>Breaks if columns get reordered (col_index is positional)</t>
        </is>
      </c>
      <c r="N16" s="53" t="inlineStr">
        <is>
          <t>relogios_presentes</t>
        </is>
      </c>
      <c r="O16" s="53" t="inlineStr">
        <is>
          <t>watches_gifts</t>
        </is>
      </c>
    </row>
    <row r="17">
      <c r="B17" s="22" t="inlineStr">
        <is>
          <t>INDEX/MATCH</t>
        </is>
      </c>
      <c r="C17" s="54" t="inlineStr">
        <is>
          <t>Any (since 1997)</t>
        </is>
      </c>
      <c r="D17" s="55" t="inlineStr">
        <is>
          <t>Universal fallback; key column can be anywhere in the source</t>
        </is>
      </c>
      <c r="E17" s="55" t="inlineStr">
        <is>
          <t>Slightly more verbose</t>
        </is>
      </c>
      <c r="N17" s="53" t="inlineStr">
        <is>
          <t>alimentos_bebidas</t>
        </is>
      </c>
      <c r="O17" s="53" t="inlineStr">
        <is>
          <t>food_drink</t>
        </is>
      </c>
    </row>
    <row r="18">
      <c r="B18" s="22" t="inlineStr">
        <is>
          <t>XLOOKUP</t>
        </is>
      </c>
      <c r="C18" s="54" t="inlineStr">
        <is>
          <t>Excel 2021 / 365 only</t>
        </is>
      </c>
      <c r="D18" s="55" t="inlineStr">
        <is>
          <t>Modern default — readable, supports if_not_found, bidirectional</t>
        </is>
      </c>
      <c r="E18" s="55" t="inlineStr">
        <is>
          <t>Falls back to #NAME? on older Excel</t>
        </is>
      </c>
      <c r="N18" s="53" t="inlineStr">
        <is>
          <t>bebes</t>
        </is>
      </c>
      <c r="O18" s="53" t="inlineStr">
        <is>
          <t>baby</t>
        </is>
      </c>
    </row>
    <row r="19">
      <c r="N19" s="53" t="inlineStr">
        <is>
          <t>papelaria</t>
        </is>
      </c>
      <c r="O19" s="53" t="inlineStr">
        <is>
          <t>stationery</t>
        </is>
      </c>
    </row>
    <row r="20">
      <c r="N20" s="53" t="inlineStr">
        <is>
          <t>tablets_impressao_imagem</t>
        </is>
      </c>
      <c r="O20" s="53" t="inlineStr">
        <is>
          <t>tablets_printing_image</t>
        </is>
      </c>
    </row>
    <row r="21">
      <c r="N21" s="53" t="inlineStr">
        <is>
          <t>brinquedos</t>
        </is>
      </c>
      <c r="O21" s="53" t="inlineStr">
        <is>
          <t>toys</t>
        </is>
      </c>
    </row>
    <row r="22">
      <c r="N22" s="53" t="inlineStr">
        <is>
          <t>telefonia_fixa</t>
        </is>
      </c>
      <c r="O22" s="53" t="inlineStr">
        <is>
          <t>fixed_telephony</t>
        </is>
      </c>
    </row>
    <row r="23">
      <c r="N23" s="53" t="inlineStr">
        <is>
          <t>ferramentas_jardim</t>
        </is>
      </c>
      <c r="O23" s="53" t="inlineStr">
        <is>
          <t>garden_tools</t>
        </is>
      </c>
    </row>
    <row r="24">
      <c r="B24" s="6" t="inlineStr">
        <is>
          <t>Section B — SUMIFS PivotTable: Order count by State × Payment Type</t>
        </is>
      </c>
      <c r="J24" s="4" t="inlineStr">
        <is>
          <t>Long-form source</t>
        </is>
      </c>
      <c r="N24" s="53" t="inlineStr">
        <is>
          <t>fashion_bolsas_e_acessorios</t>
        </is>
      </c>
      <c r="O24" s="53" t="inlineStr">
        <is>
          <t>fashion_bags_accessories</t>
        </is>
      </c>
    </row>
    <row r="25">
      <c r="B25" s="52" t="inlineStr">
        <is>
          <t>Long-form source aggregated from 99K orders + 96K customers + 104K payment lines. Pivot below uses SUMIFS — same result you'd get from Insert → PivotTable.</t>
        </is>
      </c>
      <c r="N25" s="53" t="inlineStr">
        <is>
          <t>eletroportateis</t>
        </is>
      </c>
      <c r="O25" s="53" t="inlineStr">
        <is>
          <t>small_appliances</t>
        </is>
      </c>
    </row>
    <row r="26">
      <c r="N26" s="53" t="inlineStr">
        <is>
          <t>consoles_games</t>
        </is>
      </c>
      <c r="O26" s="53" t="inlineStr">
        <is>
          <t>consoles_games</t>
        </is>
      </c>
    </row>
    <row r="27">
      <c r="B27" s="10" t="inlineStr">
        <is>
          <t>State</t>
        </is>
      </c>
      <c r="C27" s="10" t="inlineStr">
        <is>
          <t>credit_card</t>
        </is>
      </c>
      <c r="D27" s="10" t="inlineStr">
        <is>
          <t>boleto</t>
        </is>
      </c>
      <c r="E27" s="10" t="inlineStr">
        <is>
          <t>voucher</t>
        </is>
      </c>
      <c r="F27" s="10" t="inlineStr">
        <is>
          <t>debit_card</t>
        </is>
      </c>
      <c r="G27" s="10" t="inlineStr">
        <is>
          <t>Total</t>
        </is>
      </c>
      <c r="J27" s="10" t="inlineStr">
        <is>
          <t>State</t>
        </is>
      </c>
      <c r="K27" s="10" t="inlineStr">
        <is>
          <t>Payment type</t>
        </is>
      </c>
      <c r="L27" s="10" t="inlineStr">
        <is>
          <t>Orders</t>
        </is>
      </c>
      <c r="N27" s="53" t="inlineStr">
        <is>
          <t>audio</t>
        </is>
      </c>
      <c r="O27" s="53" t="inlineStr">
        <is>
          <t>audio</t>
        </is>
      </c>
    </row>
    <row r="28">
      <c r="B28" s="14" t="inlineStr">
        <is>
          <t>SP</t>
        </is>
      </c>
      <c r="C28" s="27">
        <f>SUMIFS($L$28:$L$132,$J$28:$J$132,$B28,$K$28:$K$132,C$27)</f>
        <v/>
      </c>
      <c r="D28" s="27">
        <f>SUMIFS($L$28:$L$132,$J$28:$J$132,$B28,$K$28:$K$132,D$27)</f>
        <v/>
      </c>
      <c r="E28" s="27">
        <f>SUMIFS($L$28:$L$132,$J$28:$J$132,$B28,$K$28:$K$132,E$27)</f>
        <v/>
      </c>
      <c r="F28" s="27">
        <f>SUMIFS($L$28:$L$132,$J$28:$J$132,$B28,$K$28:$K$132,F$27)</f>
        <v/>
      </c>
      <c r="G28" s="56">
        <f>SUM(C28:F28)</f>
        <v/>
      </c>
      <c r="J28" s="33" t="inlineStr">
        <is>
          <t>SP</t>
        </is>
      </c>
      <c r="K28" s="33" t="inlineStr">
        <is>
          <t>credit_card</t>
        </is>
      </c>
      <c r="L28" s="23" t="n">
        <v>32074</v>
      </c>
      <c r="N28" s="53" t="inlineStr">
        <is>
          <t>fashion_calcados</t>
        </is>
      </c>
      <c r="O28" s="53" t="inlineStr">
        <is>
          <t>fashion_shoes</t>
        </is>
      </c>
    </row>
    <row r="29">
      <c r="B29" s="14" t="inlineStr">
        <is>
          <t>RJ</t>
        </is>
      </c>
      <c r="C29" s="27">
        <f>SUMIFS($L$28:$L$132,$J$28:$J$132,$B29,$K$28:$K$132,C$27)</f>
        <v/>
      </c>
      <c r="D29" s="27">
        <f>SUMIFS($L$28:$L$132,$J$28:$J$132,$B29,$K$28:$K$132,D$27)</f>
        <v/>
      </c>
      <c r="E29" s="27">
        <f>SUMIFS($L$28:$L$132,$J$28:$J$132,$B29,$K$28:$K$132,E$27)</f>
        <v/>
      </c>
      <c r="F29" s="27">
        <f>SUMIFS($L$28:$L$132,$J$28:$J$132,$B29,$K$28:$K$132,F$27)</f>
        <v/>
      </c>
      <c r="G29" s="56">
        <f>SUM(C29:F29)</f>
        <v/>
      </c>
      <c r="J29" s="33" t="inlineStr">
        <is>
          <t>SP</t>
        </is>
      </c>
      <c r="K29" s="33" t="inlineStr">
        <is>
          <t>boleto</t>
        </is>
      </c>
      <c r="L29" s="23" t="n">
        <v>8205</v>
      </c>
      <c r="N29" s="53" t="inlineStr">
        <is>
          <t>cool_stuff</t>
        </is>
      </c>
      <c r="O29" s="53" t="inlineStr">
        <is>
          <t>cool_stuff</t>
        </is>
      </c>
    </row>
    <row r="30">
      <c r="B30" s="14" t="inlineStr">
        <is>
          <t>MG</t>
        </is>
      </c>
      <c r="C30" s="27">
        <f>SUMIFS($L$28:$L$132,$J$28:$J$132,$B30,$K$28:$K$132,C$27)</f>
        <v/>
      </c>
      <c r="D30" s="27">
        <f>SUMIFS($L$28:$L$132,$J$28:$J$132,$B30,$K$28:$K$132,D$27)</f>
        <v/>
      </c>
      <c r="E30" s="27">
        <f>SUMIFS($L$28:$L$132,$J$28:$J$132,$B30,$K$28:$K$132,E$27)</f>
        <v/>
      </c>
      <c r="F30" s="27">
        <f>SUMIFS($L$28:$L$132,$J$28:$J$132,$B30,$K$28:$K$132,F$27)</f>
        <v/>
      </c>
      <c r="G30" s="56">
        <f>SUM(C30:F30)</f>
        <v/>
      </c>
      <c r="J30" s="33" t="inlineStr">
        <is>
          <t>SP</t>
        </is>
      </c>
      <c r="K30" s="33" t="inlineStr">
        <is>
          <t>voucher</t>
        </is>
      </c>
      <c r="L30" s="23" t="n">
        <v>1596</v>
      </c>
      <c r="N30" s="53" t="inlineStr">
        <is>
          <t>malas_acessorios</t>
        </is>
      </c>
      <c r="O30" s="53" t="inlineStr">
        <is>
          <t>luggage_accessories</t>
        </is>
      </c>
    </row>
    <row r="31">
      <c r="B31" s="14" t="inlineStr">
        <is>
          <t>RS</t>
        </is>
      </c>
      <c r="C31" s="27">
        <f>SUMIFS($L$28:$L$132,$J$28:$J$132,$B31,$K$28:$K$132,C$27)</f>
        <v/>
      </c>
      <c r="D31" s="27">
        <f>SUMIFS($L$28:$L$132,$J$28:$J$132,$B31,$K$28:$K$132,D$27)</f>
        <v/>
      </c>
      <c r="E31" s="27">
        <f>SUMIFS($L$28:$L$132,$J$28:$J$132,$B31,$K$28:$K$132,E$27)</f>
        <v/>
      </c>
      <c r="F31" s="27">
        <f>SUMIFS($L$28:$L$132,$J$28:$J$132,$B31,$K$28:$K$132,F$27)</f>
        <v/>
      </c>
      <c r="G31" s="56">
        <f>SUM(C31:F31)</f>
        <v/>
      </c>
      <c r="J31" s="33" t="inlineStr">
        <is>
          <t>SP</t>
        </is>
      </c>
      <c r="K31" s="33" t="inlineStr">
        <is>
          <t>debit_card</t>
        </is>
      </c>
      <c r="L31" s="23" t="n">
        <v>759</v>
      </c>
      <c r="N31" s="53" t="inlineStr">
        <is>
          <t>climatizacao</t>
        </is>
      </c>
      <c r="O31" s="53" t="inlineStr">
        <is>
          <t>air_conditioning</t>
        </is>
      </c>
    </row>
    <row r="32">
      <c r="B32" s="14" t="inlineStr">
        <is>
          <t>PR</t>
        </is>
      </c>
      <c r="C32" s="27">
        <f>SUMIFS($L$28:$L$132,$J$28:$J$132,$B32,$K$28:$K$132,C$27)</f>
        <v/>
      </c>
      <c r="D32" s="27">
        <f>SUMIFS($L$28:$L$132,$J$28:$J$132,$B32,$K$28:$K$132,D$27)</f>
        <v/>
      </c>
      <c r="E32" s="27">
        <f>SUMIFS($L$28:$L$132,$J$28:$J$132,$B32,$K$28:$K$132,E$27)</f>
        <v/>
      </c>
      <c r="F32" s="27">
        <f>SUMIFS($L$28:$L$132,$J$28:$J$132,$B32,$K$28:$K$132,F$27)</f>
        <v/>
      </c>
      <c r="G32" s="56">
        <f>SUM(C32:F32)</f>
        <v/>
      </c>
      <c r="J32" s="33" t="inlineStr">
        <is>
          <t>RJ</t>
        </is>
      </c>
      <c r="K32" s="33" t="inlineStr">
        <is>
          <t>credit_card</t>
        </is>
      </c>
      <c r="L32" s="23" t="n">
        <v>10253</v>
      </c>
      <c r="N32" s="53" t="inlineStr">
        <is>
          <t>construcao_ferramentas_construcao</t>
        </is>
      </c>
      <c r="O32" s="53" t="inlineStr">
        <is>
          <t>construction_tools_construction</t>
        </is>
      </c>
    </row>
    <row r="33">
      <c r="B33" s="14" t="inlineStr">
        <is>
          <t>SC</t>
        </is>
      </c>
      <c r="C33" s="27">
        <f>SUMIFS($L$28:$L$132,$J$28:$J$132,$B33,$K$28:$K$132,C$27)</f>
        <v/>
      </c>
      <c r="D33" s="27">
        <f>SUMIFS($L$28:$L$132,$J$28:$J$132,$B33,$K$28:$K$132,D$27)</f>
        <v/>
      </c>
      <c r="E33" s="27">
        <f>SUMIFS($L$28:$L$132,$J$28:$J$132,$B33,$K$28:$K$132,E$27)</f>
        <v/>
      </c>
      <c r="F33" s="27">
        <f>SUMIFS($L$28:$L$132,$J$28:$J$132,$B33,$K$28:$K$132,F$27)</f>
        <v/>
      </c>
      <c r="G33" s="56">
        <f>SUM(C33:F33)</f>
        <v/>
      </c>
      <c r="J33" s="33" t="inlineStr">
        <is>
          <t>RJ</t>
        </is>
      </c>
      <c r="K33" s="33" t="inlineStr">
        <is>
          <t>boleto</t>
        </is>
      </c>
      <c r="L33" s="23" t="n">
        <v>2163</v>
      </c>
      <c r="N33" s="53" t="inlineStr">
        <is>
          <t>moveis_cozinha_area_de_servico_jantar_e_jardim</t>
        </is>
      </c>
      <c r="O33" s="53" t="inlineStr">
        <is>
          <t>kitchen_dining_laundry_garden_furniture</t>
        </is>
      </c>
    </row>
    <row r="34">
      <c r="B34" s="14" t="inlineStr">
        <is>
          <t>BA</t>
        </is>
      </c>
      <c r="C34" s="27">
        <f>SUMIFS($L$28:$L$132,$J$28:$J$132,$B34,$K$28:$K$132,C$27)</f>
        <v/>
      </c>
      <c r="D34" s="27">
        <f>SUMIFS($L$28:$L$132,$J$28:$J$132,$B34,$K$28:$K$132,D$27)</f>
        <v/>
      </c>
      <c r="E34" s="27">
        <f>SUMIFS($L$28:$L$132,$J$28:$J$132,$B34,$K$28:$K$132,E$27)</f>
        <v/>
      </c>
      <c r="F34" s="27">
        <f>SUMIFS($L$28:$L$132,$J$28:$J$132,$B34,$K$28:$K$132,F$27)</f>
        <v/>
      </c>
      <c r="G34" s="56">
        <f>SUM(C34:F34)</f>
        <v/>
      </c>
      <c r="J34" s="33" t="inlineStr">
        <is>
          <t>RJ</t>
        </is>
      </c>
      <c r="K34" s="33" t="inlineStr">
        <is>
          <t>voucher</t>
        </is>
      </c>
      <c r="L34" s="23" t="n">
        <v>547</v>
      </c>
      <c r="N34" s="53" t="inlineStr">
        <is>
          <t>construcao_ferramentas_jardim</t>
        </is>
      </c>
      <c r="O34" s="53" t="inlineStr">
        <is>
          <t>costruction_tools_garden</t>
        </is>
      </c>
    </row>
    <row r="35">
      <c r="B35" s="14" t="inlineStr">
        <is>
          <t>DF</t>
        </is>
      </c>
      <c r="C35" s="27">
        <f>SUMIFS($L$28:$L$132,$J$28:$J$132,$B35,$K$28:$K$132,C$27)</f>
        <v/>
      </c>
      <c r="D35" s="27">
        <f>SUMIFS($L$28:$L$132,$J$28:$J$132,$B35,$K$28:$K$132,D$27)</f>
        <v/>
      </c>
      <c r="E35" s="27">
        <f>SUMIFS($L$28:$L$132,$J$28:$J$132,$B35,$K$28:$K$132,E$27)</f>
        <v/>
      </c>
      <c r="F35" s="27">
        <f>SUMIFS($L$28:$L$132,$J$28:$J$132,$B35,$K$28:$K$132,F$27)</f>
        <v/>
      </c>
      <c r="G35" s="56">
        <f>SUM(C35:F35)</f>
        <v/>
      </c>
      <c r="J35" s="33" t="inlineStr">
        <is>
          <t>RJ</t>
        </is>
      </c>
      <c r="K35" s="33" t="inlineStr">
        <is>
          <t>debit_card</t>
        </is>
      </c>
      <c r="L35" s="23" t="n">
        <v>185</v>
      </c>
      <c r="N35" s="53" t="inlineStr">
        <is>
          <t>fashion_roupa_masculina</t>
        </is>
      </c>
      <c r="O35" s="53" t="inlineStr">
        <is>
          <t>fashion_male_clothing</t>
        </is>
      </c>
    </row>
    <row r="36">
      <c r="B36" s="14" t="inlineStr">
        <is>
          <t>ES</t>
        </is>
      </c>
      <c r="C36" s="27">
        <f>SUMIFS($L$28:$L$132,$J$28:$J$132,$B36,$K$28:$K$132,C$27)</f>
        <v/>
      </c>
      <c r="D36" s="27">
        <f>SUMIFS($L$28:$L$132,$J$28:$J$132,$B36,$K$28:$K$132,D$27)</f>
        <v/>
      </c>
      <c r="E36" s="27">
        <f>SUMIFS($L$28:$L$132,$J$28:$J$132,$B36,$K$28:$K$132,E$27)</f>
        <v/>
      </c>
      <c r="F36" s="27">
        <f>SUMIFS($L$28:$L$132,$J$28:$J$132,$B36,$K$28:$K$132,F$27)</f>
        <v/>
      </c>
      <c r="G36" s="56">
        <f>SUM(C36:F36)</f>
        <v/>
      </c>
      <c r="J36" s="33" t="inlineStr">
        <is>
          <t>MG</t>
        </is>
      </c>
      <c r="K36" s="33" t="inlineStr">
        <is>
          <t>credit_card</t>
        </is>
      </c>
      <c r="L36" s="23" t="n">
        <v>9030</v>
      </c>
      <c r="N36" s="53" t="inlineStr">
        <is>
          <t>pet_shop</t>
        </is>
      </c>
      <c r="O36" s="53" t="inlineStr">
        <is>
          <t>pet_shop</t>
        </is>
      </c>
    </row>
    <row r="37">
      <c r="B37" s="14" t="inlineStr">
        <is>
          <t>GO</t>
        </is>
      </c>
      <c r="C37" s="27">
        <f>SUMIFS($L$28:$L$132,$J$28:$J$132,$B37,$K$28:$K$132,C$27)</f>
        <v/>
      </c>
      <c r="D37" s="27">
        <f>SUMIFS($L$28:$L$132,$J$28:$J$132,$B37,$K$28:$K$132,D$27)</f>
        <v/>
      </c>
      <c r="E37" s="27">
        <f>SUMIFS($L$28:$L$132,$J$28:$J$132,$B37,$K$28:$K$132,E$27)</f>
        <v/>
      </c>
      <c r="F37" s="27">
        <f>SUMIFS($L$28:$L$132,$J$28:$J$132,$B37,$K$28:$K$132,F$27)</f>
        <v/>
      </c>
      <c r="G37" s="56">
        <f>SUM(C37:F37)</f>
        <v/>
      </c>
      <c r="J37" s="33" t="inlineStr">
        <is>
          <t>MG</t>
        </is>
      </c>
      <c r="K37" s="33" t="inlineStr">
        <is>
          <t>boleto</t>
        </is>
      </c>
      <c r="L37" s="23" t="n">
        <v>2304</v>
      </c>
      <c r="N37" s="53" t="inlineStr">
        <is>
          <t>moveis_escritorio</t>
        </is>
      </c>
      <c r="O37" s="53" t="inlineStr">
        <is>
          <t>office_furniture</t>
        </is>
      </c>
    </row>
    <row r="38">
      <c r="B38" s="14" t="inlineStr">
        <is>
          <t>PE</t>
        </is>
      </c>
      <c r="C38" s="27">
        <f>SUMIFS($L$28:$L$132,$J$28:$J$132,$B38,$K$28:$K$132,C$27)</f>
        <v/>
      </c>
      <c r="D38" s="27">
        <f>SUMIFS($L$28:$L$132,$J$28:$J$132,$B38,$K$28:$K$132,D$27)</f>
        <v/>
      </c>
      <c r="E38" s="27">
        <f>SUMIFS($L$28:$L$132,$J$28:$J$132,$B38,$K$28:$K$132,E$27)</f>
        <v/>
      </c>
      <c r="F38" s="27">
        <f>SUMIFS($L$28:$L$132,$J$28:$J$132,$B38,$K$28:$K$132,F$27)</f>
        <v/>
      </c>
      <c r="G38" s="56">
        <f>SUM(C38:F38)</f>
        <v/>
      </c>
      <c r="J38" s="33" t="inlineStr">
        <is>
          <t>MG</t>
        </is>
      </c>
      <c r="K38" s="33" t="inlineStr">
        <is>
          <t>voucher</t>
        </is>
      </c>
      <c r="L38" s="23" t="n">
        <v>438</v>
      </c>
      <c r="N38" s="53" t="inlineStr">
        <is>
          <t>market_place</t>
        </is>
      </c>
      <c r="O38" s="53" t="inlineStr">
        <is>
          <t>market_place</t>
        </is>
      </c>
    </row>
    <row r="39">
      <c r="B39" s="14" t="inlineStr">
        <is>
          <t>CE</t>
        </is>
      </c>
      <c r="C39" s="27">
        <f>SUMIFS($L$28:$L$132,$J$28:$J$132,$B39,$K$28:$K$132,C$27)</f>
        <v/>
      </c>
      <c r="D39" s="27">
        <f>SUMIFS($L$28:$L$132,$J$28:$J$132,$B39,$K$28:$K$132,D$27)</f>
        <v/>
      </c>
      <c r="E39" s="27">
        <f>SUMIFS($L$28:$L$132,$J$28:$J$132,$B39,$K$28:$K$132,E$27)</f>
        <v/>
      </c>
      <c r="F39" s="27">
        <f>SUMIFS($L$28:$L$132,$J$28:$J$132,$B39,$K$28:$K$132,F$27)</f>
        <v/>
      </c>
      <c r="G39" s="56">
        <f>SUM(C39:F39)</f>
        <v/>
      </c>
      <c r="J39" s="33" t="inlineStr">
        <is>
          <t>MG</t>
        </is>
      </c>
      <c r="K39" s="33" t="inlineStr">
        <is>
          <t>debit_card</t>
        </is>
      </c>
      <c r="L39" s="23" t="n">
        <v>139</v>
      </c>
      <c r="N39" s="53" t="inlineStr">
        <is>
          <t>eletronicos</t>
        </is>
      </c>
      <c r="O39" s="53" t="inlineStr">
        <is>
          <t>electronics</t>
        </is>
      </c>
    </row>
    <row r="40">
      <c r="B40" s="14" t="inlineStr">
        <is>
          <t>PA</t>
        </is>
      </c>
      <c r="C40" s="27">
        <f>SUMIFS($L$28:$L$132,$J$28:$J$132,$B40,$K$28:$K$132,C$27)</f>
        <v/>
      </c>
      <c r="D40" s="27">
        <f>SUMIFS($L$28:$L$132,$J$28:$J$132,$B40,$K$28:$K$132,D$27)</f>
        <v/>
      </c>
      <c r="E40" s="27">
        <f>SUMIFS($L$28:$L$132,$J$28:$J$132,$B40,$K$28:$K$132,E$27)</f>
        <v/>
      </c>
      <c r="F40" s="27">
        <f>SUMIFS($L$28:$L$132,$J$28:$J$132,$B40,$K$28:$K$132,F$27)</f>
        <v/>
      </c>
      <c r="G40" s="56">
        <f>SUM(C40:F40)</f>
        <v/>
      </c>
      <c r="J40" s="33" t="inlineStr">
        <is>
          <t>RS</t>
        </is>
      </c>
      <c r="K40" s="33" t="inlineStr">
        <is>
          <t>credit_card</t>
        </is>
      </c>
      <c r="L40" s="23" t="n">
        <v>3967</v>
      </c>
      <c r="N40" s="53" t="inlineStr">
        <is>
          <t>eletrodomesticos</t>
        </is>
      </c>
      <c r="O40" s="53" t="inlineStr">
        <is>
          <t>home_appliances</t>
        </is>
      </c>
    </row>
    <row r="41">
      <c r="B41" s="14" t="inlineStr">
        <is>
          <t>MT</t>
        </is>
      </c>
      <c r="C41" s="27">
        <f>SUMIFS($L$28:$L$132,$J$28:$J$132,$B41,$K$28:$K$132,C$27)</f>
        <v/>
      </c>
      <c r="D41" s="27">
        <f>SUMIFS($L$28:$L$132,$J$28:$J$132,$B41,$K$28:$K$132,D$27)</f>
        <v/>
      </c>
      <c r="E41" s="27">
        <f>SUMIFS($L$28:$L$132,$J$28:$J$132,$B41,$K$28:$K$132,E$27)</f>
        <v/>
      </c>
      <c r="F41" s="27">
        <f>SUMIFS($L$28:$L$132,$J$28:$J$132,$B41,$K$28:$K$132,F$27)</f>
        <v/>
      </c>
      <c r="G41" s="56">
        <f>SUM(C41:F41)</f>
        <v/>
      </c>
      <c r="J41" s="33" t="inlineStr">
        <is>
          <t>RS</t>
        </is>
      </c>
      <c r="K41" s="33" t="inlineStr">
        <is>
          <t>boleto</t>
        </is>
      </c>
      <c r="L41" s="23" t="n">
        <v>1359</v>
      </c>
      <c r="N41" s="53" t="inlineStr">
        <is>
          <t>artigos_de_festas</t>
        </is>
      </c>
      <c r="O41" s="53" t="inlineStr">
        <is>
          <t>party_supplies</t>
        </is>
      </c>
    </row>
    <row r="42">
      <c r="B42" s="14" t="inlineStr">
        <is>
          <t>MA</t>
        </is>
      </c>
      <c r="C42" s="27">
        <f>SUMIFS($L$28:$L$132,$J$28:$J$132,$B42,$K$28:$K$132,C$27)</f>
        <v/>
      </c>
      <c r="D42" s="27">
        <f>SUMIFS($L$28:$L$132,$J$28:$J$132,$B42,$K$28:$K$132,D$27)</f>
        <v/>
      </c>
      <c r="E42" s="27">
        <f>SUMIFS($L$28:$L$132,$J$28:$J$132,$B42,$K$28:$K$132,E$27)</f>
        <v/>
      </c>
      <c r="F42" s="27">
        <f>SUMIFS($L$28:$L$132,$J$28:$J$132,$B42,$K$28:$K$132,F$27)</f>
        <v/>
      </c>
      <c r="G42" s="56">
        <f>SUM(C42:F42)</f>
        <v/>
      </c>
      <c r="J42" s="33" t="inlineStr">
        <is>
          <t>RS</t>
        </is>
      </c>
      <c r="K42" s="33" t="inlineStr">
        <is>
          <t>voucher</t>
        </is>
      </c>
      <c r="L42" s="23" t="n">
        <v>179</v>
      </c>
      <c r="N42" s="53" t="inlineStr">
        <is>
          <t>casa_conforto</t>
        </is>
      </c>
      <c r="O42" s="53" t="inlineStr">
        <is>
          <t>home_confort</t>
        </is>
      </c>
    </row>
    <row r="43">
      <c r="B43" s="14" t="inlineStr">
        <is>
          <t>MS</t>
        </is>
      </c>
      <c r="C43" s="27">
        <f>SUMIFS($L$28:$L$132,$J$28:$J$132,$B43,$K$28:$K$132,C$27)</f>
        <v/>
      </c>
      <c r="D43" s="27">
        <f>SUMIFS($L$28:$L$132,$J$28:$J$132,$B43,$K$28:$K$132,D$27)</f>
        <v/>
      </c>
      <c r="E43" s="27">
        <f>SUMIFS($L$28:$L$132,$J$28:$J$132,$B43,$K$28:$K$132,E$27)</f>
        <v/>
      </c>
      <c r="F43" s="27">
        <f>SUMIFS($L$28:$L$132,$J$28:$J$132,$B43,$K$28:$K$132,F$27)</f>
        <v/>
      </c>
      <c r="G43" s="56">
        <f>SUM(C43:F43)</f>
        <v/>
      </c>
      <c r="J43" s="33" t="inlineStr">
        <is>
          <t>RS</t>
        </is>
      </c>
      <c r="K43" s="33" t="inlineStr">
        <is>
          <t>debit_card</t>
        </is>
      </c>
      <c r="L43" s="23" t="n">
        <v>76</v>
      </c>
      <c r="N43" s="53" t="inlineStr">
        <is>
          <t>construcao_ferramentas_ferramentas</t>
        </is>
      </c>
      <c r="O43" s="53" t="inlineStr">
        <is>
          <t>costruction_tools_tools</t>
        </is>
      </c>
    </row>
    <row r="44">
      <c r="B44" s="14" t="inlineStr">
        <is>
          <t>PB</t>
        </is>
      </c>
      <c r="C44" s="27">
        <f>SUMIFS($L$28:$L$132,$J$28:$J$132,$B44,$K$28:$K$132,C$27)</f>
        <v/>
      </c>
      <c r="D44" s="27">
        <f>SUMIFS($L$28:$L$132,$J$28:$J$132,$B44,$K$28:$K$132,D$27)</f>
        <v/>
      </c>
      <c r="E44" s="27">
        <f>SUMIFS($L$28:$L$132,$J$28:$J$132,$B44,$K$28:$K$132,E$27)</f>
        <v/>
      </c>
      <c r="F44" s="27">
        <f>SUMIFS($L$28:$L$132,$J$28:$J$132,$B44,$K$28:$K$132,F$27)</f>
        <v/>
      </c>
      <c r="G44" s="56">
        <f>SUM(C44:F44)</f>
        <v/>
      </c>
      <c r="J44" s="33" t="inlineStr">
        <is>
          <t>PR</t>
        </is>
      </c>
      <c r="K44" s="33" t="inlineStr">
        <is>
          <t>credit_card</t>
        </is>
      </c>
      <c r="L44" s="23" t="n">
        <v>3776</v>
      </c>
      <c r="N44" s="53" t="inlineStr">
        <is>
          <t>agro_industria_e_comercio</t>
        </is>
      </c>
      <c r="O44" s="53" t="inlineStr">
        <is>
          <t>agro_industry_and_commerce</t>
        </is>
      </c>
    </row>
    <row r="45">
      <c r="B45" s="14" t="inlineStr">
        <is>
          <t>PI</t>
        </is>
      </c>
      <c r="C45" s="27">
        <f>SUMIFS($L$28:$L$132,$J$28:$J$132,$B45,$K$28:$K$132,C$27)</f>
        <v/>
      </c>
      <c r="D45" s="27">
        <f>SUMIFS($L$28:$L$132,$J$28:$J$132,$B45,$K$28:$K$132,D$27)</f>
        <v/>
      </c>
      <c r="E45" s="27">
        <f>SUMIFS($L$28:$L$132,$J$28:$J$132,$B45,$K$28:$K$132,E$27)</f>
        <v/>
      </c>
      <c r="F45" s="27">
        <f>SUMIFS($L$28:$L$132,$J$28:$J$132,$B45,$K$28:$K$132,F$27)</f>
        <v/>
      </c>
      <c r="G45" s="56">
        <f>SUM(C45:F45)</f>
        <v/>
      </c>
      <c r="J45" s="33" t="inlineStr">
        <is>
          <t>PR</t>
        </is>
      </c>
      <c r="K45" s="33" t="inlineStr">
        <is>
          <t>boleto</t>
        </is>
      </c>
      <c r="L45" s="23" t="n">
        <v>1118</v>
      </c>
      <c r="N45" s="53" t="inlineStr">
        <is>
          <t>moveis_colchao_e_estofado</t>
        </is>
      </c>
      <c r="O45" s="53" t="inlineStr">
        <is>
          <t>furniture_mattress_and_upholstery</t>
        </is>
      </c>
    </row>
    <row r="46">
      <c r="B46" s="14" t="inlineStr">
        <is>
          <t>RN</t>
        </is>
      </c>
      <c r="C46" s="27">
        <f>SUMIFS($L$28:$L$132,$J$28:$J$132,$B46,$K$28:$K$132,C$27)</f>
        <v/>
      </c>
      <c r="D46" s="27">
        <f>SUMIFS($L$28:$L$132,$J$28:$J$132,$B46,$K$28:$K$132,D$27)</f>
        <v/>
      </c>
      <c r="E46" s="27">
        <f>SUMIFS($L$28:$L$132,$J$28:$J$132,$B46,$K$28:$K$132,E$27)</f>
        <v/>
      </c>
      <c r="F46" s="27">
        <f>SUMIFS($L$28:$L$132,$J$28:$J$132,$B46,$K$28:$K$132,F$27)</f>
        <v/>
      </c>
      <c r="G46" s="56">
        <f>SUM(C46:F46)</f>
        <v/>
      </c>
      <c r="J46" s="33" t="inlineStr">
        <is>
          <t>PR</t>
        </is>
      </c>
      <c r="K46" s="33" t="inlineStr">
        <is>
          <t>voucher</t>
        </is>
      </c>
      <c r="L46" s="23" t="n">
        <v>199</v>
      </c>
      <c r="N46" s="53" t="inlineStr">
        <is>
          <t>livros_tecnicos</t>
        </is>
      </c>
      <c r="O46" s="53" t="inlineStr">
        <is>
          <t>books_technical</t>
        </is>
      </c>
    </row>
    <row r="47">
      <c r="B47" s="14" t="inlineStr">
        <is>
          <t>AL</t>
        </is>
      </c>
      <c r="C47" s="27">
        <f>SUMIFS($L$28:$L$132,$J$28:$J$132,$B47,$K$28:$K$132,C$27)</f>
        <v/>
      </c>
      <c r="D47" s="27">
        <f>SUMIFS($L$28:$L$132,$J$28:$J$132,$B47,$K$28:$K$132,D$27)</f>
        <v/>
      </c>
      <c r="E47" s="27">
        <f>SUMIFS($L$28:$L$132,$J$28:$J$132,$B47,$K$28:$K$132,E$27)</f>
        <v/>
      </c>
      <c r="F47" s="27">
        <f>SUMIFS($L$28:$L$132,$J$28:$J$132,$B47,$K$28:$K$132,F$27)</f>
        <v/>
      </c>
      <c r="G47" s="56">
        <f>SUM(C47:F47)</f>
        <v/>
      </c>
      <c r="J47" s="33" t="inlineStr">
        <is>
          <t>PR</t>
        </is>
      </c>
      <c r="K47" s="33" t="inlineStr">
        <is>
          <t>debit_card</t>
        </is>
      </c>
      <c r="L47" s="23" t="n">
        <v>74</v>
      </c>
      <c r="N47" s="53" t="inlineStr">
        <is>
          <t>casa_construcao</t>
        </is>
      </c>
      <c r="O47" s="53" t="inlineStr">
        <is>
          <t>home_construction</t>
        </is>
      </c>
    </row>
    <row r="48">
      <c r="B48" s="14" t="inlineStr">
        <is>
          <t>SE</t>
        </is>
      </c>
      <c r="C48" s="27">
        <f>SUMIFS($L$28:$L$132,$J$28:$J$132,$B48,$K$28:$K$132,C$27)</f>
        <v/>
      </c>
      <c r="D48" s="27">
        <f>SUMIFS($L$28:$L$132,$J$28:$J$132,$B48,$K$28:$K$132,D$27)</f>
        <v/>
      </c>
      <c r="E48" s="27">
        <f>SUMIFS($L$28:$L$132,$J$28:$J$132,$B48,$K$28:$K$132,E$27)</f>
        <v/>
      </c>
      <c r="F48" s="27">
        <f>SUMIFS($L$28:$L$132,$J$28:$J$132,$B48,$K$28:$K$132,F$27)</f>
        <v/>
      </c>
      <c r="G48" s="56">
        <f>SUM(C48:F48)</f>
        <v/>
      </c>
      <c r="J48" s="33" t="inlineStr">
        <is>
          <t>SC</t>
        </is>
      </c>
      <c r="K48" s="33" t="inlineStr">
        <is>
          <t>credit_card</t>
        </is>
      </c>
      <c r="L48" s="23" t="n">
        <v>2705</v>
      </c>
      <c r="N48" s="53" t="inlineStr">
        <is>
          <t>instrumentos_musicais</t>
        </is>
      </c>
      <c r="O48" s="53" t="inlineStr">
        <is>
          <t>musical_instruments</t>
        </is>
      </c>
    </row>
    <row r="49">
      <c r="B49" s="14" t="inlineStr">
        <is>
          <t>TO</t>
        </is>
      </c>
      <c r="C49" s="27">
        <f>SUMIFS($L$28:$L$132,$J$28:$J$132,$B49,$K$28:$K$132,C$27)</f>
        <v/>
      </c>
      <c r="D49" s="27">
        <f>SUMIFS($L$28:$L$132,$J$28:$J$132,$B49,$K$28:$K$132,D$27)</f>
        <v/>
      </c>
      <c r="E49" s="27">
        <f>SUMIFS($L$28:$L$132,$J$28:$J$132,$B49,$K$28:$K$132,E$27)</f>
        <v/>
      </c>
      <c r="F49" s="27">
        <f>SUMIFS($L$28:$L$132,$J$28:$J$132,$B49,$K$28:$K$132,F$27)</f>
        <v/>
      </c>
      <c r="G49" s="56">
        <f>SUM(C49:F49)</f>
        <v/>
      </c>
      <c r="J49" s="33" t="inlineStr">
        <is>
          <t>SC</t>
        </is>
      </c>
      <c r="K49" s="33" t="inlineStr">
        <is>
          <t>boleto</t>
        </is>
      </c>
      <c r="L49" s="23" t="n">
        <v>840</v>
      </c>
      <c r="N49" s="53" t="inlineStr">
        <is>
          <t>moveis_sala</t>
        </is>
      </c>
      <c r="O49" s="53" t="inlineStr">
        <is>
          <t>furniture_living_room</t>
        </is>
      </c>
    </row>
    <row r="50">
      <c r="B50" s="14" t="inlineStr">
        <is>
          <t>RO</t>
        </is>
      </c>
      <c r="C50" s="27">
        <f>SUMIFS($L$28:$L$132,$J$28:$J$132,$B50,$K$28:$K$132,C$27)</f>
        <v/>
      </c>
      <c r="D50" s="27">
        <f>SUMIFS($L$28:$L$132,$J$28:$J$132,$B50,$K$28:$K$132,D$27)</f>
        <v/>
      </c>
      <c r="E50" s="27">
        <f>SUMIFS($L$28:$L$132,$J$28:$J$132,$B50,$K$28:$K$132,E$27)</f>
        <v/>
      </c>
      <c r="F50" s="27">
        <f>SUMIFS($L$28:$L$132,$J$28:$J$132,$B50,$K$28:$K$132,F$27)</f>
        <v/>
      </c>
      <c r="G50" s="56">
        <f>SUM(C50:F50)</f>
        <v/>
      </c>
      <c r="J50" s="33" t="inlineStr">
        <is>
          <t>SC</t>
        </is>
      </c>
      <c r="K50" s="33" t="inlineStr">
        <is>
          <t>voucher</t>
        </is>
      </c>
      <c r="L50" s="23" t="n">
        <v>127</v>
      </c>
      <c r="N50" s="53" t="inlineStr">
        <is>
          <t>construcao_ferramentas_iluminacao</t>
        </is>
      </c>
      <c r="O50" s="53" t="inlineStr">
        <is>
          <t>construction_tools_lights</t>
        </is>
      </c>
    </row>
    <row r="51">
      <c r="B51" s="14" t="inlineStr">
        <is>
          <t>AM</t>
        </is>
      </c>
      <c r="C51" s="27">
        <f>SUMIFS($L$28:$L$132,$J$28:$J$132,$B51,$K$28:$K$132,C$27)</f>
        <v/>
      </c>
      <c r="D51" s="27">
        <f>SUMIFS($L$28:$L$132,$J$28:$J$132,$B51,$K$28:$K$132,D$27)</f>
        <v/>
      </c>
      <c r="E51" s="27">
        <f>SUMIFS($L$28:$L$132,$J$28:$J$132,$B51,$K$28:$K$132,E$27)</f>
        <v/>
      </c>
      <c r="F51" s="27">
        <f>SUMIFS($L$28:$L$132,$J$28:$J$132,$B51,$K$28:$K$132,F$27)</f>
        <v/>
      </c>
      <c r="G51" s="56">
        <f>SUM(C51:F51)</f>
        <v/>
      </c>
      <c r="J51" s="33" t="inlineStr">
        <is>
          <t>SC</t>
        </is>
      </c>
      <c r="K51" s="33" t="inlineStr">
        <is>
          <t>debit_card</t>
        </is>
      </c>
      <c r="L51" s="23" t="n">
        <v>46</v>
      </c>
      <c r="N51" s="53" t="inlineStr">
        <is>
          <t>industria_comercio_e_negocios</t>
        </is>
      </c>
      <c r="O51" s="53" t="inlineStr">
        <is>
          <t>industry_commerce_and_business</t>
        </is>
      </c>
    </row>
    <row r="52">
      <c r="B52" s="14" t="inlineStr">
        <is>
          <t>AC</t>
        </is>
      </c>
      <c r="C52" s="27">
        <f>SUMIFS($L$28:$L$132,$J$28:$J$132,$B52,$K$28:$K$132,C$27)</f>
        <v/>
      </c>
      <c r="D52" s="27">
        <f>SUMIFS($L$28:$L$132,$J$28:$J$132,$B52,$K$28:$K$132,D$27)</f>
        <v/>
      </c>
      <c r="E52" s="27">
        <f>SUMIFS($L$28:$L$132,$J$28:$J$132,$B52,$K$28:$K$132,E$27)</f>
        <v/>
      </c>
      <c r="F52" s="27">
        <f>SUMIFS($L$28:$L$132,$J$28:$J$132,$B52,$K$28:$K$132,F$27)</f>
        <v/>
      </c>
      <c r="G52" s="56">
        <f>SUM(C52:F52)</f>
        <v/>
      </c>
      <c r="J52" s="33" t="inlineStr">
        <is>
          <t>BA</t>
        </is>
      </c>
      <c r="K52" s="33" t="inlineStr">
        <is>
          <t>credit_card</t>
        </is>
      </c>
      <c r="L52" s="23" t="n">
        <v>2643</v>
      </c>
      <c r="N52" s="53" t="inlineStr">
        <is>
          <t>alimentos</t>
        </is>
      </c>
      <c r="O52" s="53" t="inlineStr">
        <is>
          <t>food</t>
        </is>
      </c>
    </row>
    <row r="53">
      <c r="B53" s="14" t="inlineStr">
        <is>
          <t>AP</t>
        </is>
      </c>
      <c r="C53" s="27">
        <f>SUMIFS($L$28:$L$132,$J$28:$J$132,$B53,$K$28:$K$132,C$27)</f>
        <v/>
      </c>
      <c r="D53" s="27">
        <f>SUMIFS($L$28:$L$132,$J$28:$J$132,$B53,$K$28:$K$132,D$27)</f>
        <v/>
      </c>
      <c r="E53" s="27">
        <f>SUMIFS($L$28:$L$132,$J$28:$J$132,$B53,$K$28:$K$132,E$27)</f>
        <v/>
      </c>
      <c r="F53" s="27">
        <f>SUMIFS($L$28:$L$132,$J$28:$J$132,$B53,$K$28:$K$132,F$27)</f>
        <v/>
      </c>
      <c r="G53" s="56">
        <f>SUM(C53:F53)</f>
        <v/>
      </c>
      <c r="J53" s="33" t="inlineStr">
        <is>
          <t>BA</t>
        </is>
      </c>
      <c r="K53" s="33" t="inlineStr">
        <is>
          <t>boleto</t>
        </is>
      </c>
      <c r="L53" s="23" t="n">
        <v>614</v>
      </c>
      <c r="N53" s="53" t="inlineStr">
        <is>
          <t>artes</t>
        </is>
      </c>
      <c r="O53" s="53" t="inlineStr">
        <is>
          <t>art</t>
        </is>
      </c>
    </row>
    <row r="54">
      <c r="B54" s="14" t="inlineStr">
        <is>
          <t>RR</t>
        </is>
      </c>
      <c r="C54" s="27">
        <f>SUMIFS($L$28:$L$132,$J$28:$J$132,$B54,$K$28:$K$132,C$27)</f>
        <v/>
      </c>
      <c r="D54" s="27">
        <f>SUMIFS($L$28:$L$132,$J$28:$J$132,$B54,$K$28:$K$132,D$27)</f>
        <v/>
      </c>
      <c r="E54" s="27">
        <f>SUMIFS($L$28:$L$132,$J$28:$J$132,$B54,$K$28:$K$132,E$27)</f>
        <v/>
      </c>
      <c r="F54" s="27">
        <f>SUMIFS($L$28:$L$132,$J$28:$J$132,$B54,$K$28:$K$132,F$27)</f>
        <v/>
      </c>
      <c r="G54" s="56">
        <f>SUM(C54:F54)</f>
        <v/>
      </c>
      <c r="J54" s="33" t="inlineStr">
        <is>
          <t>BA</t>
        </is>
      </c>
      <c r="K54" s="33" t="inlineStr">
        <is>
          <t>voucher</t>
        </is>
      </c>
      <c r="L54" s="23" t="n">
        <v>176</v>
      </c>
      <c r="N54" s="53" t="inlineStr">
        <is>
          <t>moveis_quarto</t>
        </is>
      </c>
      <c r="O54" s="53" t="inlineStr">
        <is>
          <t>furniture_bedroom</t>
        </is>
      </c>
    </row>
    <row r="55">
      <c r="B55" s="47" t="inlineStr">
        <is>
          <t>Total</t>
        </is>
      </c>
      <c r="C55" s="57">
        <f>SUM(C28:C54)</f>
        <v/>
      </c>
      <c r="D55" s="57">
        <f>SUM(D28:D54)</f>
        <v/>
      </c>
      <c r="E55" s="57">
        <f>SUM(E28:E54)</f>
        <v/>
      </c>
      <c r="F55" s="57">
        <f>SUM(F28:F54)</f>
        <v/>
      </c>
      <c r="G55" s="58">
        <f>SUM(C28:F54)</f>
        <v/>
      </c>
      <c r="J55" s="33" t="inlineStr">
        <is>
          <t>BA</t>
        </is>
      </c>
      <c r="K55" s="33" t="inlineStr">
        <is>
          <t>debit_card</t>
        </is>
      </c>
      <c r="L55" s="23" t="n">
        <v>53</v>
      </c>
      <c r="N55" s="53" t="inlineStr">
        <is>
          <t>livros_interesse_geral</t>
        </is>
      </c>
      <c r="O55" s="53" t="inlineStr">
        <is>
          <t>books_general_interest</t>
        </is>
      </c>
    </row>
    <row r="56">
      <c r="J56" s="33" t="inlineStr">
        <is>
          <t>DF</t>
        </is>
      </c>
      <c r="K56" s="33" t="inlineStr">
        <is>
          <t>credit_card</t>
        </is>
      </c>
      <c r="L56" s="23" t="n">
        <v>1695</v>
      </c>
      <c r="N56" s="53" t="inlineStr">
        <is>
          <t>construcao_ferramentas_seguranca</t>
        </is>
      </c>
      <c r="O56" s="53" t="inlineStr">
        <is>
          <t>construction_tools_safety</t>
        </is>
      </c>
    </row>
    <row r="57">
      <c r="J57" s="33" t="inlineStr">
        <is>
          <t>DF</t>
        </is>
      </c>
      <c r="K57" s="33" t="inlineStr">
        <is>
          <t>boleto</t>
        </is>
      </c>
      <c r="L57" s="23" t="n">
        <v>396</v>
      </c>
      <c r="N57" s="53" t="inlineStr">
        <is>
          <t>fashion_underwear_e_moda_praia</t>
        </is>
      </c>
      <c r="O57" s="53" t="inlineStr">
        <is>
          <t>fashion_underwear_beach</t>
        </is>
      </c>
    </row>
    <row r="58">
      <c r="B58" s="6" t="inlineStr">
        <is>
          <t>How this compares to a real PivotTable</t>
        </is>
      </c>
      <c r="J58" s="33" t="inlineStr">
        <is>
          <t>DF</t>
        </is>
      </c>
      <c r="K58" s="33" t="inlineStr">
        <is>
          <t>voucher</t>
        </is>
      </c>
      <c r="L58" s="23" t="n">
        <v>79</v>
      </c>
      <c r="N58" s="53" t="inlineStr">
        <is>
          <t>fashion_esporte</t>
        </is>
      </c>
      <c r="O58" s="53" t="inlineStr">
        <is>
          <t>fashion_sport</t>
        </is>
      </c>
    </row>
    <row r="59">
      <c r="B59" s="36" t="inlineStr">
        <is>
          <t>• SUMIFS pivot above: same numbers a real PivotTable would produce, computed via formulas. Visible to reviewers + auditable cell by cell.</t>
        </is>
      </c>
      <c r="J59" s="33" t="inlineStr">
        <is>
          <t>DF</t>
        </is>
      </c>
      <c r="K59" s="33" t="inlineStr">
        <is>
          <t>debit_card</t>
        </is>
      </c>
      <c r="L59" s="23" t="n">
        <v>17</v>
      </c>
      <c r="N59" s="53" t="inlineStr">
        <is>
          <t>sinalizacao_e_seguranca</t>
        </is>
      </c>
      <c r="O59" s="53" t="inlineStr">
        <is>
          <t>signaling_and_security</t>
        </is>
      </c>
    </row>
    <row r="60">
      <c r="B60" s="36" t="inlineStr">
        <is>
          <t>• Real PivotTable (1-click): select tbl_payments_long → Insert → PivotTable. Drag State to Rows, Payment type to Columns, Orders to Values. Slicer / Timeline come for free.</t>
        </is>
      </c>
      <c r="J60" s="33" t="inlineStr">
        <is>
          <t>ES</t>
        </is>
      </c>
      <c r="K60" s="33" t="inlineStr">
        <is>
          <t>credit_card</t>
        </is>
      </c>
      <c r="L60" s="23" t="n">
        <v>1568</v>
      </c>
      <c r="N60" s="53" t="inlineStr">
        <is>
          <t>pcs</t>
        </is>
      </c>
      <c r="O60" s="53" t="inlineStr">
        <is>
          <t>computers</t>
        </is>
      </c>
    </row>
    <row r="61">
      <c r="B61" s="36" t="inlineStr">
        <is>
          <t>• Power Pivot version (senior signal): load all 9 raw CSVs into the Data Model, write DAX measure `Order Count := DISTINCTCOUNT(orders[order_id])`, drive any pivot from one measure.</t>
        </is>
      </c>
      <c r="J61" s="33" t="inlineStr">
        <is>
          <t>ES</t>
        </is>
      </c>
      <c r="K61" s="33" t="inlineStr">
        <is>
          <t>boleto</t>
        </is>
      </c>
      <c r="L61" s="23" t="n">
        <v>403</v>
      </c>
      <c r="N61" s="53" t="inlineStr">
        <is>
          <t>artigos_de_natal</t>
        </is>
      </c>
      <c r="O61" s="53" t="inlineStr">
        <is>
          <t>christmas_supplies</t>
        </is>
      </c>
    </row>
    <row r="62">
      <c r="B62" s="36" t="inlineStr">
        <is>
          <t>• See sheet 12_Methodology for step-by-step Power Query / Power Pivot upgrade path.</t>
        </is>
      </c>
      <c r="J62" s="33" t="inlineStr">
        <is>
          <t>ES</t>
        </is>
      </c>
      <c r="K62" s="33" t="inlineStr">
        <is>
          <t>voucher</t>
        </is>
      </c>
      <c r="L62" s="23" t="n">
        <v>82</v>
      </c>
      <c r="N62" s="53" t="inlineStr">
        <is>
          <t>fashion_roupa_feminina</t>
        </is>
      </c>
      <c r="O62" s="53" t="inlineStr">
        <is>
          <t>fashio_female_clothing</t>
        </is>
      </c>
    </row>
    <row r="63">
      <c r="J63" s="33" t="inlineStr">
        <is>
          <t>ES</t>
        </is>
      </c>
      <c r="K63" s="33" t="inlineStr">
        <is>
          <t>debit_card</t>
        </is>
      </c>
      <c r="L63" s="23" t="n">
        <v>27</v>
      </c>
      <c r="N63" s="53" t="inlineStr">
        <is>
          <t>eletrodomesticos_2</t>
        </is>
      </c>
      <c r="O63" s="53" t="inlineStr">
        <is>
          <t>home_appliances_2</t>
        </is>
      </c>
    </row>
    <row r="64">
      <c r="J64" s="33" t="inlineStr">
        <is>
          <t>GO</t>
        </is>
      </c>
      <c r="K64" s="33" t="inlineStr">
        <is>
          <t>credit_card</t>
        </is>
      </c>
      <c r="L64" s="23" t="n">
        <v>1514</v>
      </c>
      <c r="N64" s="53" t="inlineStr">
        <is>
          <t>livros_importados</t>
        </is>
      </c>
      <c r="O64" s="53" t="inlineStr">
        <is>
          <t>books_imported</t>
        </is>
      </c>
    </row>
    <row r="65">
      <c r="J65" s="33" t="inlineStr">
        <is>
          <t>GO</t>
        </is>
      </c>
      <c r="K65" s="33" t="inlineStr">
        <is>
          <t>boleto</t>
        </is>
      </c>
      <c r="L65" s="23" t="n">
        <v>449</v>
      </c>
      <c r="N65" s="53" t="inlineStr">
        <is>
          <t>bebidas</t>
        </is>
      </c>
      <c r="O65" s="53" t="inlineStr">
        <is>
          <t>drinks</t>
        </is>
      </c>
    </row>
    <row r="66">
      <c r="J66" s="33" t="inlineStr">
        <is>
          <t>GO</t>
        </is>
      </c>
      <c r="K66" s="33" t="inlineStr">
        <is>
          <t>voucher</t>
        </is>
      </c>
      <c r="L66" s="23" t="n">
        <v>76</v>
      </c>
      <c r="N66" s="53" t="inlineStr">
        <is>
          <t>cine_foto</t>
        </is>
      </c>
      <c r="O66" s="53" t="inlineStr">
        <is>
          <t>cine_photo</t>
        </is>
      </c>
    </row>
    <row r="67">
      <c r="J67" s="33" t="inlineStr">
        <is>
          <t>GO</t>
        </is>
      </c>
      <c r="K67" s="33" t="inlineStr">
        <is>
          <t>debit_card</t>
        </is>
      </c>
      <c r="L67" s="23" t="n">
        <v>22</v>
      </c>
      <c r="N67" s="53" t="inlineStr">
        <is>
          <t>la_cuisine</t>
        </is>
      </c>
      <c r="O67" s="53" t="inlineStr">
        <is>
          <t>la_cuisine</t>
        </is>
      </c>
    </row>
    <row r="68">
      <c r="J68" s="33" t="inlineStr">
        <is>
          <t>PE</t>
        </is>
      </c>
      <c r="K68" s="33" t="inlineStr">
        <is>
          <t>credit_card</t>
        </is>
      </c>
      <c r="L68" s="23" t="n">
        <v>1326</v>
      </c>
      <c r="N68" s="53" t="inlineStr">
        <is>
          <t>musica</t>
        </is>
      </c>
      <c r="O68" s="53" t="inlineStr">
        <is>
          <t>music</t>
        </is>
      </c>
    </row>
    <row r="69">
      <c r="J69" s="33" t="inlineStr">
        <is>
          <t>PE</t>
        </is>
      </c>
      <c r="K69" s="33" t="inlineStr">
        <is>
          <t>boleto</t>
        </is>
      </c>
      <c r="L69" s="23" t="n">
        <v>277</v>
      </c>
      <c r="N69" s="53" t="inlineStr">
        <is>
          <t>casa_conforto_2</t>
        </is>
      </c>
      <c r="O69" s="53" t="inlineStr">
        <is>
          <t>home_comfort_2</t>
        </is>
      </c>
    </row>
    <row r="70">
      <c r="J70" s="33" t="inlineStr">
        <is>
          <t>PE</t>
        </is>
      </c>
      <c r="K70" s="33" t="inlineStr">
        <is>
          <t>voucher</t>
        </is>
      </c>
      <c r="L70" s="23" t="n">
        <v>73</v>
      </c>
      <c r="N70" s="53" t="inlineStr">
        <is>
          <t>portateis_casa_forno_e_cafe</t>
        </is>
      </c>
      <c r="O70" s="53" t="inlineStr">
        <is>
          <t>small_appliances_home_oven_and_coffee</t>
        </is>
      </c>
    </row>
    <row r="71">
      <c r="J71" s="33" t="inlineStr">
        <is>
          <t>PE</t>
        </is>
      </c>
      <c r="K71" s="33" t="inlineStr">
        <is>
          <t>debit_card</t>
        </is>
      </c>
      <c r="L71" s="23" t="n">
        <v>19</v>
      </c>
      <c r="N71" s="53" t="inlineStr">
        <is>
          <t>cds_dvds_musicais</t>
        </is>
      </c>
      <c r="O71" s="53" t="inlineStr">
        <is>
          <t>cds_dvds_musicals</t>
        </is>
      </c>
    </row>
    <row r="72">
      <c r="J72" s="33" t="inlineStr">
        <is>
          <t>CE</t>
        </is>
      </c>
      <c r="K72" s="33" t="inlineStr">
        <is>
          <t>credit_card</t>
        </is>
      </c>
      <c r="L72" s="23" t="n">
        <v>1083</v>
      </c>
      <c r="N72" s="53" t="inlineStr">
        <is>
          <t>dvds_blu_ray</t>
        </is>
      </c>
      <c r="O72" s="53" t="inlineStr">
        <is>
          <t>dvds_blu_ray</t>
        </is>
      </c>
    </row>
    <row r="73">
      <c r="J73" s="33" t="inlineStr">
        <is>
          <t>CE</t>
        </is>
      </c>
      <c r="K73" s="33" t="inlineStr">
        <is>
          <t>boleto</t>
        </is>
      </c>
      <c r="L73" s="23" t="n">
        <v>205</v>
      </c>
      <c r="N73" s="53" t="inlineStr">
        <is>
          <t>flores</t>
        </is>
      </c>
      <c r="O73" s="53" t="inlineStr">
        <is>
          <t>flowers</t>
        </is>
      </c>
    </row>
    <row r="74">
      <c r="J74" s="33" t="inlineStr">
        <is>
          <t>CE</t>
        </is>
      </c>
      <c r="K74" s="33" t="inlineStr">
        <is>
          <t>voucher</t>
        </is>
      </c>
      <c r="L74" s="23" t="n">
        <v>59</v>
      </c>
      <c r="N74" s="53" t="inlineStr">
        <is>
          <t>artes_e_artesanato</t>
        </is>
      </c>
      <c r="O74" s="53" t="inlineStr">
        <is>
          <t>arts_and_craftmanship</t>
        </is>
      </c>
    </row>
    <row r="75">
      <c r="J75" s="33" t="inlineStr">
        <is>
          <t>CE</t>
        </is>
      </c>
      <c r="K75" s="33" t="inlineStr">
        <is>
          <t>debit_card</t>
        </is>
      </c>
      <c r="L75" s="23" t="n">
        <v>20</v>
      </c>
      <c r="N75" s="53" t="inlineStr">
        <is>
          <t>fraldas_higiene</t>
        </is>
      </c>
      <c r="O75" s="53" t="inlineStr">
        <is>
          <t>diapers_and_hygiene</t>
        </is>
      </c>
    </row>
    <row r="76">
      <c r="J76" s="33" t="inlineStr">
        <is>
          <t>PA</t>
        </is>
      </c>
      <c r="K76" s="33" t="inlineStr">
        <is>
          <t>credit_card</t>
        </is>
      </c>
      <c r="L76" s="23" t="n">
        <v>724</v>
      </c>
      <c r="N76" s="53" t="inlineStr">
        <is>
          <t>fashion_roupa_infanto_juvenil</t>
        </is>
      </c>
      <c r="O76" s="53" t="inlineStr">
        <is>
          <t>fashion_childrens_clothes</t>
        </is>
      </c>
    </row>
    <row r="77">
      <c r="J77" s="33" t="inlineStr">
        <is>
          <t>PA</t>
        </is>
      </c>
      <c r="K77" s="33" t="inlineStr">
        <is>
          <t>boleto</t>
        </is>
      </c>
      <c r="L77" s="23" t="n">
        <v>215</v>
      </c>
      <c r="N77" s="53" t="inlineStr">
        <is>
          <t>seguros_e_servicos</t>
        </is>
      </c>
      <c r="O77" s="53" t="inlineStr">
        <is>
          <t>security_and_services</t>
        </is>
      </c>
    </row>
    <row r="78">
      <c r="J78" s="33" t="inlineStr">
        <is>
          <t>PA</t>
        </is>
      </c>
      <c r="K78" s="33" t="inlineStr">
        <is>
          <t>voucher</t>
        </is>
      </c>
      <c r="L78" s="23" t="n">
        <v>41</v>
      </c>
    </row>
    <row r="79">
      <c r="J79" s="33" t="inlineStr">
        <is>
          <t>PA</t>
        </is>
      </c>
      <c r="K79" s="33" t="inlineStr">
        <is>
          <t>debit_card</t>
        </is>
      </c>
      <c r="L79" s="23" t="n">
        <v>16</v>
      </c>
    </row>
    <row r="80">
      <c r="J80" s="33" t="inlineStr">
        <is>
          <t>MT</t>
        </is>
      </c>
      <c r="K80" s="33" t="inlineStr">
        <is>
          <t>credit_card</t>
        </is>
      </c>
      <c r="L80" s="23" t="n">
        <v>657</v>
      </c>
    </row>
    <row r="81">
      <c r="J81" s="33" t="inlineStr">
        <is>
          <t>MT</t>
        </is>
      </c>
      <c r="K81" s="33" t="inlineStr">
        <is>
          <t>boleto</t>
        </is>
      </c>
      <c r="L81" s="23" t="n">
        <v>238</v>
      </c>
    </row>
    <row r="82">
      <c r="J82" s="33" t="inlineStr">
        <is>
          <t>MT</t>
        </is>
      </c>
      <c r="K82" s="33" t="inlineStr">
        <is>
          <t>voucher</t>
        </is>
      </c>
      <c r="L82" s="23" t="n">
        <v>25</v>
      </c>
    </row>
    <row r="83">
      <c r="J83" s="33" t="inlineStr">
        <is>
          <t>MT</t>
        </is>
      </c>
      <c r="K83" s="33" t="inlineStr">
        <is>
          <t>debit_card</t>
        </is>
      </c>
      <c r="L83" s="23" t="n">
        <v>6</v>
      </c>
    </row>
    <row r="84">
      <c r="J84" s="33" t="inlineStr">
        <is>
          <t>MA</t>
        </is>
      </c>
      <c r="K84" s="33" t="inlineStr">
        <is>
          <t>credit_card</t>
        </is>
      </c>
      <c r="L84" s="23" t="n">
        <v>534</v>
      </c>
    </row>
    <row r="85">
      <c r="J85" s="33" t="inlineStr">
        <is>
          <t>MA</t>
        </is>
      </c>
      <c r="K85" s="33" t="inlineStr">
        <is>
          <t>boleto</t>
        </is>
      </c>
      <c r="L85" s="23" t="n">
        <v>203</v>
      </c>
    </row>
    <row r="86">
      <c r="J86" s="33" t="inlineStr">
        <is>
          <t>MA</t>
        </is>
      </c>
      <c r="K86" s="33" t="inlineStr">
        <is>
          <t>voucher</t>
        </is>
      </c>
      <c r="L86" s="23" t="n">
        <v>19</v>
      </c>
    </row>
    <row r="87">
      <c r="J87" s="33" t="inlineStr">
        <is>
          <t>MA</t>
        </is>
      </c>
      <c r="K87" s="33" t="inlineStr">
        <is>
          <t>debit_card</t>
        </is>
      </c>
      <c r="L87" s="23" t="n">
        <v>4</v>
      </c>
    </row>
    <row r="88">
      <c r="J88" s="33" t="inlineStr">
        <is>
          <t>MS</t>
        </is>
      </c>
      <c r="K88" s="33" t="inlineStr">
        <is>
          <t>credit_card</t>
        </is>
      </c>
      <c r="L88" s="23" t="n">
        <v>516</v>
      </c>
    </row>
    <row r="89">
      <c r="J89" s="33" t="inlineStr">
        <is>
          <t>MS</t>
        </is>
      </c>
      <c r="K89" s="33" t="inlineStr">
        <is>
          <t>boleto</t>
        </is>
      </c>
      <c r="L89" s="23" t="n">
        <v>175</v>
      </c>
    </row>
    <row r="90">
      <c r="J90" s="33" t="inlineStr">
        <is>
          <t>MS</t>
        </is>
      </c>
      <c r="K90" s="33" t="inlineStr">
        <is>
          <t>voucher</t>
        </is>
      </c>
      <c r="L90" s="23" t="n">
        <v>24</v>
      </c>
    </row>
    <row r="91">
      <c r="J91" s="33" t="inlineStr">
        <is>
          <t>MS</t>
        </is>
      </c>
      <c r="K91" s="33" t="inlineStr">
        <is>
          <t>debit_card</t>
        </is>
      </c>
      <c r="L91" s="23" t="n">
        <v>11</v>
      </c>
    </row>
    <row r="92">
      <c r="J92" s="33" t="inlineStr">
        <is>
          <t>PB</t>
        </is>
      </c>
      <c r="K92" s="33" t="inlineStr">
        <is>
          <t>credit_card</t>
        </is>
      </c>
      <c r="L92" s="23" t="n">
        <v>421</v>
      </c>
    </row>
    <row r="93">
      <c r="J93" s="33" t="inlineStr">
        <is>
          <t>PB</t>
        </is>
      </c>
      <c r="K93" s="33" t="inlineStr">
        <is>
          <t>boleto</t>
        </is>
      </c>
      <c r="L93" s="23" t="n">
        <v>93</v>
      </c>
    </row>
    <row r="94">
      <c r="J94" s="33" t="inlineStr">
        <is>
          <t>PB</t>
        </is>
      </c>
      <c r="K94" s="33" t="inlineStr">
        <is>
          <t>voucher</t>
        </is>
      </c>
      <c r="L94" s="23" t="n">
        <v>23</v>
      </c>
    </row>
    <row r="95">
      <c r="J95" s="33" t="inlineStr">
        <is>
          <t>PB</t>
        </is>
      </c>
      <c r="K95" s="33" t="inlineStr">
        <is>
          <t>debit_card</t>
        </is>
      </c>
      <c r="L95" s="23" t="n">
        <v>13</v>
      </c>
    </row>
    <row r="96">
      <c r="J96" s="33" t="inlineStr">
        <is>
          <t>PI</t>
        </is>
      </c>
      <c r="K96" s="33" t="inlineStr">
        <is>
          <t>credit_card</t>
        </is>
      </c>
      <c r="L96" s="23" t="n">
        <v>383</v>
      </c>
    </row>
    <row r="97">
      <c r="J97" s="33" t="inlineStr">
        <is>
          <t>PI</t>
        </is>
      </c>
      <c r="K97" s="33" t="inlineStr">
        <is>
          <t>boleto</t>
        </is>
      </c>
      <c r="L97" s="23" t="n">
        <v>94</v>
      </c>
    </row>
    <row r="98">
      <c r="J98" s="33" t="inlineStr">
        <is>
          <t>PI</t>
        </is>
      </c>
      <c r="K98" s="33" t="inlineStr">
        <is>
          <t>voucher</t>
        </is>
      </c>
      <c r="L98" s="23" t="n">
        <v>27</v>
      </c>
    </row>
    <row r="99">
      <c r="J99" s="33" t="inlineStr">
        <is>
          <t>PI</t>
        </is>
      </c>
      <c r="K99" s="33" t="inlineStr">
        <is>
          <t>debit_card</t>
        </is>
      </c>
      <c r="L99" s="23" t="n">
        <v>11</v>
      </c>
    </row>
    <row r="100">
      <c r="J100" s="33" t="inlineStr">
        <is>
          <t>RN</t>
        </is>
      </c>
      <c r="K100" s="33" t="inlineStr">
        <is>
          <t>credit_card</t>
        </is>
      </c>
      <c r="L100" s="23" t="n">
        <v>390</v>
      </c>
    </row>
    <row r="101">
      <c r="J101" s="33" t="inlineStr">
        <is>
          <t>RN</t>
        </is>
      </c>
      <c r="K101" s="33" t="inlineStr">
        <is>
          <t>boleto</t>
        </is>
      </c>
      <c r="L101" s="23" t="n">
        <v>80</v>
      </c>
    </row>
    <row r="102">
      <c r="J102" s="33" t="inlineStr">
        <is>
          <t>RN</t>
        </is>
      </c>
      <c r="K102" s="33" t="inlineStr">
        <is>
          <t>voucher</t>
        </is>
      </c>
      <c r="L102" s="23" t="n">
        <v>21</v>
      </c>
    </row>
    <row r="103">
      <c r="J103" s="33" t="inlineStr">
        <is>
          <t>RN</t>
        </is>
      </c>
      <c r="K103" s="33" t="inlineStr">
        <is>
          <t>debit_card</t>
        </is>
      </c>
      <c r="L103" s="23" t="n">
        <v>9</v>
      </c>
    </row>
    <row r="104">
      <c r="J104" s="33" t="inlineStr">
        <is>
          <t>AL</t>
        </is>
      </c>
      <c r="K104" s="33" t="inlineStr">
        <is>
          <t>credit_card</t>
        </is>
      </c>
      <c r="L104" s="23" t="n">
        <v>338</v>
      </c>
    </row>
    <row r="105">
      <c r="J105" s="33" t="inlineStr">
        <is>
          <t>AL</t>
        </is>
      </c>
      <c r="K105" s="33" t="inlineStr">
        <is>
          <t>boleto</t>
        </is>
      </c>
      <c r="L105" s="23" t="n">
        <v>68</v>
      </c>
    </row>
    <row r="106">
      <c r="J106" s="33" t="inlineStr">
        <is>
          <t>AL</t>
        </is>
      </c>
      <c r="K106" s="33" t="inlineStr">
        <is>
          <t>voucher</t>
        </is>
      </c>
      <c r="L106" s="23" t="n">
        <v>10</v>
      </c>
    </row>
    <row r="107">
      <c r="J107" s="33" t="inlineStr">
        <is>
          <t>AL</t>
        </is>
      </c>
      <c r="K107" s="33" t="inlineStr">
        <is>
          <t>debit_card</t>
        </is>
      </c>
      <c r="L107" s="23" t="n">
        <v>5</v>
      </c>
    </row>
    <row r="108">
      <c r="J108" s="33" t="inlineStr">
        <is>
          <t>SE</t>
        </is>
      </c>
      <c r="K108" s="33" t="inlineStr">
        <is>
          <t>credit_card</t>
        </is>
      </c>
      <c r="L108" s="23" t="n">
        <v>263</v>
      </c>
    </row>
    <row r="109">
      <c r="J109" s="33" t="inlineStr">
        <is>
          <t>SE</t>
        </is>
      </c>
      <c r="K109" s="33" t="inlineStr">
        <is>
          <t>boleto</t>
        </is>
      </c>
      <c r="L109" s="23" t="n">
        <v>75</v>
      </c>
    </row>
    <row r="110">
      <c r="J110" s="33" t="inlineStr">
        <is>
          <t>SE</t>
        </is>
      </c>
      <c r="K110" s="33" t="inlineStr">
        <is>
          <t>voucher</t>
        </is>
      </c>
      <c r="L110" s="23" t="n">
        <v>15</v>
      </c>
    </row>
    <row r="111">
      <c r="J111" s="33" t="inlineStr">
        <is>
          <t>SE</t>
        </is>
      </c>
      <c r="K111" s="33" t="inlineStr">
        <is>
          <t>debit_card</t>
        </is>
      </c>
      <c r="L111" s="23" t="n">
        <v>5</v>
      </c>
    </row>
    <row r="112">
      <c r="J112" s="33" t="inlineStr">
        <is>
          <t>TO</t>
        </is>
      </c>
      <c r="K112" s="33" t="inlineStr">
        <is>
          <t>credit_card</t>
        </is>
      </c>
      <c r="L112" s="23" t="n">
        <v>196</v>
      </c>
    </row>
    <row r="113">
      <c r="J113" s="33" t="inlineStr">
        <is>
          <t>TO</t>
        </is>
      </c>
      <c r="K113" s="33" t="inlineStr">
        <is>
          <t>boleto</t>
        </is>
      </c>
      <c r="L113" s="23" t="n">
        <v>76</v>
      </c>
    </row>
    <row r="114">
      <c r="J114" s="33" t="inlineStr">
        <is>
          <t>TO</t>
        </is>
      </c>
      <c r="K114" s="33" t="inlineStr">
        <is>
          <t>voucher</t>
        </is>
      </c>
      <c r="L114" s="23" t="n">
        <v>12</v>
      </c>
    </row>
    <row r="115">
      <c r="J115" s="33" t="inlineStr">
        <is>
          <t>TO</t>
        </is>
      </c>
      <c r="K115" s="33" t="inlineStr">
        <is>
          <t>debit_card</t>
        </is>
      </c>
      <c r="L115" s="23" t="n">
        <v>4</v>
      </c>
    </row>
    <row r="116">
      <c r="J116" s="33" t="inlineStr">
        <is>
          <t>RO</t>
        </is>
      </c>
      <c r="K116" s="33" t="inlineStr">
        <is>
          <t>credit_card</t>
        </is>
      </c>
      <c r="L116" s="23" t="n">
        <v>184</v>
      </c>
    </row>
    <row r="117">
      <c r="J117" s="33" t="inlineStr">
        <is>
          <t>RO</t>
        </is>
      </c>
      <c r="K117" s="33" t="inlineStr">
        <is>
          <t>boleto</t>
        </is>
      </c>
      <c r="L117" s="23" t="n">
        <v>64</v>
      </c>
    </row>
    <row r="118">
      <c r="J118" s="33" t="inlineStr">
        <is>
          <t>RO</t>
        </is>
      </c>
      <c r="K118" s="33" t="inlineStr">
        <is>
          <t>voucher</t>
        </is>
      </c>
      <c r="L118" s="23" t="n">
        <v>7</v>
      </c>
    </row>
    <row r="119">
      <c r="J119" s="33" t="inlineStr">
        <is>
          <t>RO</t>
        </is>
      </c>
      <c r="K119" s="33" t="inlineStr">
        <is>
          <t>debit_card</t>
        </is>
      </c>
      <c r="L119" s="23" t="n">
        <v>3</v>
      </c>
    </row>
    <row r="120">
      <c r="J120" s="33" t="inlineStr">
        <is>
          <t>AM</t>
        </is>
      </c>
      <c r="K120" s="33" t="inlineStr">
        <is>
          <t>credit_card</t>
        </is>
      </c>
      <c r="L120" s="23" t="n">
        <v>124</v>
      </c>
    </row>
    <row r="121">
      <c r="J121" s="33" t="inlineStr">
        <is>
          <t>AM</t>
        </is>
      </c>
      <c r="K121" s="33" t="inlineStr">
        <is>
          <t>boleto</t>
        </is>
      </c>
      <c r="L121" s="23" t="n">
        <v>21</v>
      </c>
    </row>
    <row r="122">
      <c r="J122" s="33" t="inlineStr">
        <is>
          <t>AM</t>
        </is>
      </c>
      <c r="K122" s="33" t="inlineStr">
        <is>
          <t>voucher</t>
        </is>
      </c>
      <c r="L122" s="23" t="n">
        <v>4</v>
      </c>
    </row>
    <row r="123">
      <c r="J123" s="33" t="inlineStr">
        <is>
          <t>AM</t>
        </is>
      </c>
      <c r="K123" s="33" t="inlineStr">
        <is>
          <t>debit_card</t>
        </is>
      </c>
      <c r="L123" s="23" t="n">
        <v>2</v>
      </c>
    </row>
    <row r="124">
      <c r="J124" s="33" t="inlineStr">
        <is>
          <t>AC</t>
        </is>
      </c>
      <c r="K124" s="33" t="inlineStr">
        <is>
          <t>credit_card</t>
        </is>
      </c>
      <c r="L124" s="23" t="n">
        <v>61</v>
      </c>
    </row>
    <row r="125">
      <c r="J125" s="33" t="inlineStr">
        <is>
          <t>AC</t>
        </is>
      </c>
      <c r="K125" s="33" t="inlineStr">
        <is>
          <t>boleto</t>
        </is>
      </c>
      <c r="L125" s="23" t="n">
        <v>16</v>
      </c>
    </row>
    <row r="126">
      <c r="J126" s="33" t="inlineStr">
        <is>
          <t>AC</t>
        </is>
      </c>
      <c r="K126" s="33" t="inlineStr">
        <is>
          <t>voucher</t>
        </is>
      </c>
      <c r="L126" s="23" t="n">
        <v>4</v>
      </c>
    </row>
    <row r="127">
      <c r="J127" s="33" t="inlineStr">
        <is>
          <t>AC</t>
        </is>
      </c>
      <c r="K127" s="33" t="inlineStr">
        <is>
          <t>debit_card</t>
        </is>
      </c>
      <c r="L127" s="23" t="n">
        <v>2</v>
      </c>
    </row>
    <row r="128">
      <c r="J128" s="33" t="inlineStr">
        <is>
          <t>AP</t>
        </is>
      </c>
      <c r="K128" s="33" t="inlineStr">
        <is>
          <t>credit_card</t>
        </is>
      </c>
      <c r="L128" s="23" t="n">
        <v>47</v>
      </c>
    </row>
    <row r="129">
      <c r="J129" s="33" t="inlineStr">
        <is>
          <t>AP</t>
        </is>
      </c>
      <c r="K129" s="33" t="inlineStr">
        <is>
          <t>boleto</t>
        </is>
      </c>
      <c r="L129" s="23" t="n">
        <v>20</v>
      </c>
    </row>
    <row r="130">
      <c r="J130" s="33" t="inlineStr">
        <is>
          <t>AP</t>
        </is>
      </c>
      <c r="K130" s="33" t="inlineStr">
        <is>
          <t>voucher</t>
        </is>
      </c>
      <c r="L130" s="23" t="n">
        <v>3</v>
      </c>
    </row>
    <row r="131">
      <c r="J131" s="33" t="inlineStr">
        <is>
          <t>RR</t>
        </is>
      </c>
      <c r="K131" s="33" t="inlineStr">
        <is>
          <t>credit_card</t>
        </is>
      </c>
      <c r="L131" s="23" t="n">
        <v>33</v>
      </c>
    </row>
    <row r="132">
      <c r="J132" s="33" t="inlineStr">
        <is>
          <t>RR</t>
        </is>
      </c>
      <c r="K132" s="33" t="inlineStr">
        <is>
          <t>boleto</t>
        </is>
      </c>
      <c r="L132" s="23" t="n">
        <v>13</v>
      </c>
    </row>
  </sheetData>
  <conditionalFormatting sqref="C28:F54">
    <cfRule type="colorScale" priority="1">
      <colorScale>
        <cfvo type="min"/>
        <cfvo type="percentile" val="50"/>
        <cfvo type="max"/>
        <color rgb="00FFFFFF"/>
        <color rgb="00F4D35E"/>
        <color rgb="00E07B39"/>
      </colorScale>
    </cfRule>
  </conditionalFormatting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59" t="inlineStr">
        <is>
          <t>KPI Lookup</t>
        </is>
      </c>
    </row>
    <row r="2">
      <c r="A2" s="10" t="inlineStr">
        <is>
          <t>Metric</t>
        </is>
      </c>
      <c r="B2" s="10" t="inlineStr">
        <is>
          <t>Value</t>
        </is>
      </c>
      <c r="C2" s="10" t="inlineStr">
        <is>
          <t>Format</t>
        </is>
      </c>
    </row>
    <row r="3">
      <c r="A3" t="inlineStr">
        <is>
          <t>Total orders</t>
        </is>
      </c>
      <c r="B3" s="60" t="n">
        <v>99441</v>
      </c>
      <c r="C3" s="61" t="inlineStr">
        <is>
          <t>#,##0</t>
        </is>
      </c>
    </row>
    <row r="4">
      <c r="A4" t="inlineStr">
        <is>
          <t>Unique customers</t>
        </is>
      </c>
      <c r="B4" s="60" t="n">
        <v>96096</v>
      </c>
      <c r="C4" s="61" t="inlineStr">
        <is>
          <t>#,##0</t>
        </is>
      </c>
    </row>
    <row r="5">
      <c r="A5" t="inlineStr">
        <is>
          <t>Sellers</t>
        </is>
      </c>
      <c r="B5" s="60" t="n">
        <v>3095</v>
      </c>
      <c r="C5" s="61" t="inlineStr">
        <is>
          <t>#,##0</t>
        </is>
      </c>
    </row>
    <row r="6">
      <c r="A6" t="inlineStr">
        <is>
          <t>Products</t>
        </is>
      </c>
      <c r="B6" s="60" t="n">
        <v>32951</v>
      </c>
      <c r="C6" s="61" t="inlineStr">
        <is>
          <t>#,##0</t>
        </is>
      </c>
    </row>
    <row r="7">
      <c r="A7" t="inlineStr">
        <is>
          <t>Product categories</t>
        </is>
      </c>
      <c r="B7" s="60" t="n">
        <v>71</v>
      </c>
      <c r="C7" s="61" t="inlineStr">
        <is>
          <t>#,##0</t>
        </is>
      </c>
    </row>
    <row r="8">
      <c r="A8" t="inlineStr">
        <is>
          <t>States covered</t>
        </is>
      </c>
      <c r="B8" s="62" t="n">
        <v>27</v>
      </c>
      <c r="C8" s="61" t="inlineStr">
        <is>
          <t>0</t>
        </is>
      </c>
    </row>
    <row r="9">
      <c r="A9" t="inlineStr">
        <is>
          <t>Cities covered</t>
        </is>
      </c>
      <c r="B9" s="60" t="n">
        <v>4119</v>
      </c>
      <c r="C9" s="61" t="inlineStr">
        <is>
          <t>#,##0</t>
        </is>
      </c>
    </row>
    <row r="10">
      <c r="A10" t="inlineStr">
        <is>
          <t>Total GMV (R$)</t>
        </is>
      </c>
      <c r="B10" s="60" t="n">
        <v>13591644</v>
      </c>
      <c r="C10" s="61" t="inlineStr">
        <is>
          <t>#,##0</t>
        </is>
      </c>
    </row>
    <row r="11">
      <c r="A11" t="inlineStr">
        <is>
          <t>AOV (R$)</t>
        </is>
      </c>
      <c r="B11" s="63" t="n">
        <v>137.41</v>
      </c>
      <c r="C11" s="61" t="inlineStr">
        <is>
          <t>0.00</t>
        </is>
      </c>
    </row>
    <row r="12">
      <c r="A12" t="inlineStr">
        <is>
          <t>Cross-month repeat rate</t>
        </is>
      </c>
      <c r="B12" s="64" t="n">
        <v>0.0181</v>
      </c>
      <c r="C12" s="61" t="inlineStr">
        <is>
          <t>0.00%</t>
        </is>
      </c>
    </row>
    <row r="13">
      <c r="A13" t="inlineStr">
        <is>
          <t>Champions ARPU (R$)</t>
        </is>
      </c>
      <c r="B13" s="62" t="n">
        <v>274</v>
      </c>
      <c r="C13" s="61" t="inlineStr">
        <is>
          <t>0</t>
        </is>
      </c>
    </row>
    <row r="14">
      <c r="A14" t="inlineStr">
        <is>
          <t>At-Risk customers</t>
        </is>
      </c>
      <c r="B14" s="60" t="n">
        <v>21975</v>
      </c>
      <c r="C14" s="61" t="inlineStr">
        <is>
          <t>#,##0</t>
        </is>
      </c>
    </row>
    <row r="15">
      <c r="A15" t="inlineStr">
        <is>
          <t>At-Risk ARPU (R$)</t>
        </is>
      </c>
      <c r="B15" s="62" t="n">
        <v>213</v>
      </c>
      <c r="C15" s="61" t="inlineStr">
        <is>
          <t>0</t>
        </is>
      </c>
    </row>
    <row r="16">
      <c r="A16" t="inlineStr">
        <is>
          <t>Avg actual delivery (days)</t>
        </is>
      </c>
      <c r="B16" s="65" t="n">
        <v>15.4</v>
      </c>
      <c r="C16" s="61" t="inlineStr">
        <is>
          <t>0.0</t>
        </is>
      </c>
    </row>
    <row r="17">
      <c r="A17" t="inlineStr">
        <is>
          <t>Avg ETA (days)</t>
        </is>
      </c>
      <c r="B17" s="65" t="n">
        <v>24</v>
      </c>
      <c r="C17" s="61" t="inlineStr">
        <is>
          <t>0.0</t>
        </is>
      </c>
    </row>
    <row r="18">
      <c r="A18" t="inlineStr">
        <is>
          <t>Repeat customers (count)</t>
        </is>
      </c>
      <c r="B18" s="60" t="n">
        <v>1693</v>
      </c>
      <c r="C18" s="61" t="inlineStr">
        <is>
          <t>#,##0</t>
        </is>
      </c>
    </row>
    <row r="21">
      <c r="A21" s="59" t="inlineStr">
        <is>
          <t>Yearly KPIs</t>
        </is>
      </c>
    </row>
    <row r="22">
      <c r="A22" s="10" t="inlineStr">
        <is>
          <t>Year</t>
        </is>
      </c>
      <c r="B22" s="10" t="inlineStr">
        <is>
          <t>GMV (R$ M)</t>
        </is>
      </c>
      <c r="C22" s="10" t="inlineStr">
        <is>
          <t>Orders</t>
        </is>
      </c>
      <c r="D22" s="10" t="inlineStr">
        <is>
          <t>Avg Review</t>
        </is>
      </c>
      <c r="E22" s="10" t="inlineStr">
        <is>
          <t>Avg Delivery (days)</t>
        </is>
      </c>
    </row>
    <row r="23">
      <c r="A23" t="n">
        <v>2016</v>
      </c>
      <c r="B23" t="n">
        <v>0.04</v>
      </c>
      <c r="C23" t="n">
        <v>264</v>
      </c>
      <c r="D23" t="n">
        <v>3.9</v>
      </c>
      <c r="E23" t="n">
        <v>19.6</v>
      </c>
    </row>
    <row r="24">
      <c r="A24" t="n">
        <v>2017</v>
      </c>
      <c r="B24" t="n">
        <v>5.94</v>
      </c>
      <c r="C24" t="n">
        <v>43098</v>
      </c>
      <c r="D24" t="n">
        <v>4.1</v>
      </c>
      <c r="E24" t="n">
        <v>12.9</v>
      </c>
    </row>
    <row r="25">
      <c r="A25" t="n">
        <v>2018</v>
      </c>
      <c r="B25" t="n">
        <v>7.19</v>
      </c>
      <c r="C25" t="n">
        <v>52462</v>
      </c>
      <c r="D25" t="n">
        <v>4.1</v>
      </c>
      <c r="E25" t="n">
        <v>12</v>
      </c>
    </row>
    <row r="28">
      <c r="A28" s="59" t="inlineStr">
        <is>
          <t>Monthly Revenue</t>
        </is>
      </c>
    </row>
    <row r="29">
      <c r="A29" s="10" t="inlineStr">
        <is>
          <t>Month</t>
        </is>
      </c>
      <c r="B29" s="10" t="inlineStr">
        <is>
          <t>Revenue (R$)</t>
        </is>
      </c>
    </row>
    <row r="30">
      <c r="A30" t="inlineStr">
        <is>
          <t>2017-01</t>
        </is>
      </c>
      <c r="B30" t="n">
        <v>111798.36</v>
      </c>
    </row>
    <row r="31">
      <c r="A31" t="inlineStr">
        <is>
          <t>2017-02</t>
        </is>
      </c>
      <c r="B31" t="n">
        <v>234223.4</v>
      </c>
    </row>
    <row r="32">
      <c r="A32" t="inlineStr">
        <is>
          <t>2017-03</t>
        </is>
      </c>
      <c r="B32" t="n">
        <v>359198.85</v>
      </c>
    </row>
    <row r="33">
      <c r="A33" t="inlineStr">
        <is>
          <t>2017-04</t>
        </is>
      </c>
      <c r="B33" t="n">
        <v>340669.68</v>
      </c>
    </row>
    <row r="34">
      <c r="A34" t="inlineStr">
        <is>
          <t>2017-05</t>
        </is>
      </c>
      <c r="B34" t="n">
        <v>489338.25</v>
      </c>
    </row>
    <row r="35">
      <c r="A35" t="inlineStr">
        <is>
          <t>2017-06</t>
        </is>
      </c>
      <c r="B35" t="n">
        <v>421923.37</v>
      </c>
    </row>
    <row r="36">
      <c r="A36" t="inlineStr">
        <is>
          <t>2017-07</t>
        </is>
      </c>
      <c r="B36" t="n">
        <v>481604.52</v>
      </c>
    </row>
    <row r="37">
      <c r="A37" t="inlineStr">
        <is>
          <t>2017-08</t>
        </is>
      </c>
      <c r="B37" t="n">
        <v>554699.7</v>
      </c>
    </row>
    <row r="38">
      <c r="A38" t="inlineStr">
        <is>
          <t>2017-09</t>
        </is>
      </c>
      <c r="B38" t="n">
        <v>607399.67</v>
      </c>
    </row>
    <row r="39">
      <c r="A39" t="inlineStr">
        <is>
          <t>2017-10</t>
        </is>
      </c>
      <c r="B39" t="n">
        <v>648247.65</v>
      </c>
    </row>
    <row r="40">
      <c r="A40" t="inlineStr">
        <is>
          <t>2017-11</t>
        </is>
      </c>
      <c r="B40" t="n">
        <v>987765.37</v>
      </c>
    </row>
    <row r="41">
      <c r="A41" t="inlineStr">
        <is>
          <t>2017-12</t>
        </is>
      </c>
      <c r="B41" t="n">
        <v>726033.1899999999</v>
      </c>
    </row>
    <row r="42">
      <c r="A42" t="inlineStr">
        <is>
          <t>2018-01</t>
        </is>
      </c>
      <c r="B42" t="n">
        <v>924645</v>
      </c>
    </row>
    <row r="43">
      <c r="A43" t="inlineStr">
        <is>
          <t>2018-02</t>
        </is>
      </c>
      <c r="B43" t="n">
        <v>826437.13</v>
      </c>
    </row>
    <row r="44">
      <c r="A44" t="inlineStr">
        <is>
          <t>2018-03</t>
        </is>
      </c>
      <c r="B44" t="n">
        <v>953356.25</v>
      </c>
    </row>
    <row r="45">
      <c r="A45" t="inlineStr">
        <is>
          <t>2018-04</t>
        </is>
      </c>
      <c r="B45" t="n">
        <v>973534.09</v>
      </c>
    </row>
    <row r="46">
      <c r="A46" t="inlineStr">
        <is>
          <t>2018-05</t>
        </is>
      </c>
      <c r="B46" t="n">
        <v>977544.6899999999</v>
      </c>
    </row>
    <row r="47">
      <c r="A47" t="inlineStr">
        <is>
          <t>2018-06</t>
        </is>
      </c>
      <c r="B47" t="n">
        <v>856077.86</v>
      </c>
    </row>
    <row r="48">
      <c r="A48" t="inlineStr">
        <is>
          <t>2018-07</t>
        </is>
      </c>
      <c r="B48" t="n">
        <v>867953.46</v>
      </c>
    </row>
    <row r="49">
      <c r="A49" t="inlineStr">
        <is>
          <t>2018-08</t>
        </is>
      </c>
      <c r="B49" t="n">
        <v>838576.64</v>
      </c>
    </row>
    <row r="52">
      <c r="A52" s="59" t="inlineStr">
        <is>
          <t>RFM Segments</t>
        </is>
      </c>
    </row>
    <row r="53">
      <c r="A53" s="10" t="inlineStr">
        <is>
          <t>Segment</t>
        </is>
      </c>
      <c r="B53" s="10" t="inlineStr">
        <is>
          <t>Customers</t>
        </is>
      </c>
      <c r="C53" s="10" t="inlineStr">
        <is>
          <t>Customer %</t>
        </is>
      </c>
      <c r="D53" s="10" t="inlineStr">
        <is>
          <t>Revenue (R$)</t>
        </is>
      </c>
      <c r="E53" s="10" t="inlineStr">
        <is>
          <t>Revenue %</t>
        </is>
      </c>
      <c r="F53" s="10" t="inlineStr">
        <is>
          <t>ARPU (R$)</t>
        </is>
      </c>
      <c r="G53" s="10" t="inlineStr">
        <is>
          <t>Avg Recency (d)</t>
        </is>
      </c>
    </row>
    <row r="54">
      <c r="A54" t="inlineStr">
        <is>
          <t>Champions</t>
        </is>
      </c>
      <c r="B54" t="n">
        <v>15151</v>
      </c>
      <c r="C54" t="n">
        <v>0.162</v>
      </c>
      <c r="D54" t="n">
        <v>4155457.5</v>
      </c>
      <c r="E54" t="n">
        <v>0.314</v>
      </c>
      <c r="F54" t="n">
        <v>274.3</v>
      </c>
      <c r="G54" t="n">
        <v>90.90000000000001</v>
      </c>
    </row>
    <row r="55">
      <c r="A55" t="inlineStr">
        <is>
          <t>At Risk</t>
        </is>
      </c>
      <c r="B55" t="n">
        <v>21975</v>
      </c>
      <c r="C55" t="n">
        <v>0.235</v>
      </c>
      <c r="D55" t="n">
        <v>4688537.4</v>
      </c>
      <c r="E55" t="n">
        <v>0.355</v>
      </c>
      <c r="F55" t="n">
        <v>213.4</v>
      </c>
      <c r="G55" t="n">
        <v>393.2</v>
      </c>
    </row>
    <row r="56">
      <c r="A56" t="inlineStr">
        <is>
          <t>Loyal Low-spend</t>
        </is>
      </c>
      <c r="B56" t="n">
        <v>7612</v>
      </c>
      <c r="C56" t="n">
        <v>0.08199999999999999</v>
      </c>
      <c r="D56" t="n">
        <v>675660.2</v>
      </c>
      <c r="E56" t="n">
        <v>0.051</v>
      </c>
      <c r="F56" t="n">
        <v>88.8</v>
      </c>
      <c r="G56" t="n">
        <v>90.09999999999999</v>
      </c>
    </row>
    <row r="57">
      <c r="A57" t="inlineStr">
        <is>
          <t>Average</t>
        </is>
      </c>
      <c r="B57" t="n">
        <v>18672</v>
      </c>
      <c r="C57" t="n">
        <v>0.2</v>
      </c>
      <c r="D57" t="n">
        <v>2507492.9</v>
      </c>
      <c r="E57" t="n">
        <v>0.19</v>
      </c>
      <c r="F57" t="n">
        <v>134.3</v>
      </c>
      <c r="G57" t="n">
        <v>219.4</v>
      </c>
    </row>
    <row r="58">
      <c r="A58" t="inlineStr">
        <is>
          <t>Potential New</t>
        </is>
      </c>
      <c r="B58" t="n">
        <v>14579</v>
      </c>
      <c r="C58" t="n">
        <v>0.156</v>
      </c>
      <c r="D58" t="n">
        <v>576513.3</v>
      </c>
      <c r="E58" t="n">
        <v>0.044</v>
      </c>
      <c r="F58" t="n">
        <v>39.5</v>
      </c>
      <c r="G58" t="n">
        <v>88.8</v>
      </c>
    </row>
    <row r="59">
      <c r="A59" t="inlineStr">
        <is>
          <t>Lost</t>
        </is>
      </c>
      <c r="B59" t="n">
        <v>15369</v>
      </c>
      <c r="C59" t="n">
        <v>0.165</v>
      </c>
      <c r="D59" t="n">
        <v>617836.7</v>
      </c>
      <c r="E59" t="n">
        <v>0.047</v>
      </c>
      <c r="F59" t="n">
        <v>40.2</v>
      </c>
      <c r="G59" t="n">
        <v>395.5</v>
      </c>
    </row>
    <row r="62">
      <c r="A62" s="59" t="inlineStr">
        <is>
          <t>Installments</t>
        </is>
      </c>
    </row>
    <row r="63">
      <c r="A63" s="10" t="inlineStr">
        <is>
          <t>Bucket</t>
        </is>
      </c>
      <c r="B63" s="10" t="inlineStr">
        <is>
          <t>Orders</t>
        </is>
      </c>
      <c r="C63" s="10" t="inlineStr">
        <is>
          <t>Avg Ticket (R$)</t>
        </is>
      </c>
      <c r="D63" s="10" t="inlineStr">
        <is>
          <t>Customers</t>
        </is>
      </c>
      <c r="E63" s="10" t="inlineStr">
        <is>
          <t>Repeat Rate</t>
        </is>
      </c>
    </row>
    <row r="64">
      <c r="A64" t="inlineStr">
        <is>
          <t>1 (single)</t>
        </is>
      </c>
      <c r="B64" t="n">
        <v>25455</v>
      </c>
      <c r="C64" t="n">
        <v>95.87</v>
      </c>
      <c r="D64" t="n">
        <v>23931</v>
      </c>
      <c r="E64" t="n">
        <v>0.0251</v>
      </c>
    </row>
    <row r="65">
      <c r="A65" t="inlineStr">
        <is>
          <t>2-3 installments</t>
        </is>
      </c>
      <c r="B65" t="n">
        <v>22874</v>
      </c>
      <c r="C65" t="n">
        <v>134.23</v>
      </c>
      <c r="D65" t="n">
        <v>21502</v>
      </c>
      <c r="E65" t="n">
        <v>0.0281</v>
      </c>
    </row>
    <row r="66">
      <c r="A66" t="inlineStr">
        <is>
          <t>4-6 installments</t>
        </is>
      </c>
      <c r="B66" t="n">
        <v>16257</v>
      </c>
      <c r="C66" t="n">
        <v>181.32</v>
      </c>
      <c r="D66" t="n">
        <v>15173</v>
      </c>
      <c r="E66" t="n">
        <v>0.0318</v>
      </c>
    </row>
    <row r="67">
      <c r="A67" t="inlineStr">
        <is>
          <t>7-10 installments</t>
        </is>
      </c>
      <c r="B67" t="n">
        <v>11866</v>
      </c>
      <c r="C67" t="n">
        <v>333.83</v>
      </c>
      <c r="D67" t="n">
        <v>10966</v>
      </c>
      <c r="E67" t="n">
        <v>0.0413</v>
      </c>
    </row>
    <row r="68">
      <c r="A68" t="inlineStr">
        <is>
          <t>11+ installments</t>
        </is>
      </c>
      <c r="B68" t="n">
        <v>341</v>
      </c>
      <c r="C68" t="n">
        <v>358.34</v>
      </c>
      <c r="D68" t="n">
        <v>311</v>
      </c>
      <c r="E68" t="n">
        <v>0.0418</v>
      </c>
    </row>
    <row r="71">
      <c r="A71" s="59" t="inlineStr">
        <is>
          <t>Logistics by State</t>
        </is>
      </c>
    </row>
    <row r="72">
      <c r="A72" s="10" t="inlineStr">
        <is>
          <t>State</t>
        </is>
      </c>
      <c r="B72" s="10" t="inlineStr">
        <is>
          <t>Actual days</t>
        </is>
      </c>
      <c r="C72" s="10" t="inlineStr">
        <is>
          <t>Estimated days</t>
        </is>
      </c>
      <c r="D72" s="10" t="inlineStr">
        <is>
          <t>ETA gap (days)</t>
        </is>
      </c>
    </row>
    <row r="73">
      <c r="A73" t="inlineStr">
        <is>
          <t>SP</t>
        </is>
      </c>
      <c r="B73" t="n">
        <v>8.800000000000001</v>
      </c>
      <c r="C73" t="n">
        <v>19.1</v>
      </c>
      <c r="D73" t="n">
        <v>10.3</v>
      </c>
    </row>
    <row r="74">
      <c r="A74" t="inlineStr">
        <is>
          <t>MG</t>
        </is>
      </c>
      <c r="B74" t="n">
        <v>12</v>
      </c>
      <c r="C74" t="n">
        <v>24.5</v>
      </c>
      <c r="D74" t="n">
        <v>12.5</v>
      </c>
    </row>
    <row r="75">
      <c r="A75" t="inlineStr">
        <is>
          <t>PR</t>
        </is>
      </c>
      <c r="B75" t="n">
        <v>12</v>
      </c>
      <c r="C75" t="n">
        <v>24.6</v>
      </c>
      <c r="D75" t="n">
        <v>12.6</v>
      </c>
    </row>
    <row r="76">
      <c r="A76" t="inlineStr">
        <is>
          <t>DF</t>
        </is>
      </c>
      <c r="B76" t="n">
        <v>13</v>
      </c>
      <c r="C76" t="n">
        <v>24.3</v>
      </c>
      <c r="D76" t="n">
        <v>11.3</v>
      </c>
    </row>
    <row r="77">
      <c r="A77" t="inlineStr">
        <is>
          <t>SC</t>
        </is>
      </c>
      <c r="B77" t="n">
        <v>15</v>
      </c>
      <c r="C77" t="n">
        <v>25.8</v>
      </c>
      <c r="D77" t="n">
        <v>10.8</v>
      </c>
    </row>
    <row r="78">
      <c r="A78" t="inlineStr">
        <is>
          <t>RJ</t>
        </is>
      </c>
      <c r="B78" t="n">
        <v>15.3</v>
      </c>
      <c r="C78" t="n">
        <v>26.4</v>
      </c>
      <c r="D78" t="n">
        <v>11.1</v>
      </c>
    </row>
    <row r="79">
      <c r="A79" t="inlineStr">
        <is>
          <t>RS</t>
        </is>
      </c>
      <c r="B79" t="n">
        <v>15.3</v>
      </c>
      <c r="C79" t="n">
        <v>28.5</v>
      </c>
      <c r="D79" t="n">
        <v>13.2</v>
      </c>
    </row>
    <row r="80">
      <c r="A80" t="inlineStr">
        <is>
          <t>GO</t>
        </is>
      </c>
      <c r="B80" t="n">
        <v>15.6</v>
      </c>
      <c r="C80" t="n">
        <v>27.1</v>
      </c>
      <c r="D80" t="n">
        <v>11.5</v>
      </c>
    </row>
    <row r="81">
      <c r="A81" t="inlineStr">
        <is>
          <t>MS</t>
        </is>
      </c>
      <c r="B81" t="n">
        <v>15.6</v>
      </c>
      <c r="C81" t="n">
        <v>26</v>
      </c>
      <c r="D81" t="n">
        <v>10.4</v>
      </c>
    </row>
    <row r="82">
      <c r="A82" t="inlineStr">
        <is>
          <t>ES</t>
        </is>
      </c>
      <c r="B82" t="n">
        <v>15.8</v>
      </c>
      <c r="C82" t="n">
        <v>25.6</v>
      </c>
      <c r="D82" t="n">
        <v>9.800000000000001</v>
      </c>
    </row>
    <row r="83">
      <c r="A83" t="inlineStr">
        <is>
          <t>TO</t>
        </is>
      </c>
      <c r="B83" t="n">
        <v>17.7</v>
      </c>
      <c r="C83" t="n">
        <v>29.1</v>
      </c>
      <c r="D83" t="n">
        <v>11.4</v>
      </c>
    </row>
    <row r="84">
      <c r="A84" t="inlineStr">
        <is>
          <t>MT</t>
        </is>
      </c>
      <c r="B84" t="n">
        <v>18.1</v>
      </c>
      <c r="C84" t="n">
        <v>31.7</v>
      </c>
      <c r="D84" t="n">
        <v>13.6</v>
      </c>
    </row>
    <row r="85">
      <c r="A85" t="inlineStr">
        <is>
          <t>PE</t>
        </is>
      </c>
      <c r="B85" t="n">
        <v>18.4</v>
      </c>
      <c r="C85" t="n">
        <v>31.1</v>
      </c>
      <c r="D85" t="n">
        <v>12.7</v>
      </c>
    </row>
    <row r="86">
      <c r="A86" t="inlineStr">
        <is>
          <t>BA</t>
        </is>
      </c>
      <c r="B86" t="n">
        <v>19.3</v>
      </c>
      <c r="C86" t="n">
        <v>29.4</v>
      </c>
      <c r="D86" t="n">
        <v>10.1</v>
      </c>
    </row>
    <row r="87">
      <c r="A87" t="inlineStr">
        <is>
          <t>RN</t>
        </is>
      </c>
      <c r="B87" t="n">
        <v>19.3</v>
      </c>
      <c r="C87" t="n">
        <v>32.2</v>
      </c>
      <c r="D87" t="n">
        <v>12.9</v>
      </c>
    </row>
    <row r="90">
      <c r="A90" s="59" t="inlineStr">
        <is>
          <t>Cohort Retention Matrix</t>
        </is>
      </c>
    </row>
    <row r="91">
      <c r="A91" s="10" t="inlineStr">
        <is>
          <t>Cohort</t>
        </is>
      </c>
      <c r="B91" s="10" t="inlineStr">
        <is>
          <t>M0</t>
        </is>
      </c>
      <c r="C91" s="10" t="inlineStr">
        <is>
          <t>M1</t>
        </is>
      </c>
      <c r="D91" s="10" t="inlineStr">
        <is>
          <t>M2</t>
        </is>
      </c>
      <c r="E91" s="10" t="inlineStr">
        <is>
          <t>M3</t>
        </is>
      </c>
      <c r="F91" s="10" t="inlineStr">
        <is>
          <t>M4</t>
        </is>
      </c>
      <c r="G91" s="10" t="inlineStr">
        <is>
          <t>M5</t>
        </is>
      </c>
      <c r="H91" s="10" t="inlineStr">
        <is>
          <t>M6</t>
        </is>
      </c>
      <c r="I91" s="10" t="inlineStr">
        <is>
          <t>M7</t>
        </is>
      </c>
      <c r="J91" s="10" t="inlineStr">
        <is>
          <t>M8</t>
        </is>
      </c>
      <c r="K91" s="10" t="inlineStr">
        <is>
          <t>M9</t>
        </is>
      </c>
      <c r="L91" s="10" t="inlineStr">
        <is>
          <t>M10</t>
        </is>
      </c>
      <c r="M91" s="10" t="inlineStr">
        <is>
          <t>M11</t>
        </is>
      </c>
      <c r="N91" s="10" t="inlineStr">
        <is>
          <t>M12</t>
        </is>
      </c>
    </row>
    <row r="92">
      <c r="A92" t="inlineStr">
        <is>
          <t>2017-01</t>
        </is>
      </c>
      <c r="B92" t="n">
        <v>1</v>
      </c>
      <c r="C92" t="n">
        <v>0.002789400278940028</v>
      </c>
      <c r="D92" t="n">
        <v>0.002789400278940028</v>
      </c>
      <c r="E92" t="n">
        <v>0.001394700139470014</v>
      </c>
      <c r="F92" t="n">
        <v>0.004184100418410041</v>
      </c>
      <c r="G92" t="n">
        <v>0.001394700139470014</v>
      </c>
      <c r="H92" t="n">
        <v>0.004184100418410041</v>
      </c>
      <c r="I92" t="n">
        <v>0.001394700139470014</v>
      </c>
      <c r="J92" t="n">
        <v>0.001394700139470014</v>
      </c>
      <c r="L92" t="n">
        <v>0.004184100418410041</v>
      </c>
      <c r="M92" t="n">
        <v>0.001394700139470014</v>
      </c>
      <c r="N92" t="n">
        <v>0.006973500697350071</v>
      </c>
    </row>
    <row r="93">
      <c r="A93" t="inlineStr">
        <is>
          <t>2017-02</t>
        </is>
      </c>
      <c r="B93" t="n">
        <v>1</v>
      </c>
      <c r="C93" t="n">
        <v>0.001842751842751843</v>
      </c>
      <c r="D93" t="n">
        <v>0.003071253071253071</v>
      </c>
      <c r="E93" t="n">
        <v>0.001228501228501228</v>
      </c>
      <c r="F93" t="n">
        <v>0.0042997542997543</v>
      </c>
      <c r="G93" t="n">
        <v>0.001228501228501228</v>
      </c>
      <c r="H93" t="n">
        <v>0.002457002457002457</v>
      </c>
      <c r="I93" t="n">
        <v>0.001842751842751843</v>
      </c>
      <c r="J93" t="n">
        <v>0.001228501228501228</v>
      </c>
      <c r="K93" t="n">
        <v>0.001842751842751843</v>
      </c>
      <c r="L93" t="n">
        <v>0.001228501228501228</v>
      </c>
      <c r="M93" t="n">
        <v>0.003071253071253071</v>
      </c>
      <c r="N93" t="n">
        <v>0.001228501228501228</v>
      </c>
    </row>
    <row r="94">
      <c r="A94" t="inlineStr">
        <is>
          <t>2017-03</t>
        </is>
      </c>
      <c r="B94" t="n">
        <v>1</v>
      </c>
      <c r="C94" t="n">
        <v>0.004394726328405913</v>
      </c>
      <c r="D94" t="n">
        <v>0.003595685177786656</v>
      </c>
      <c r="E94" t="n">
        <v>0.003995205753096284</v>
      </c>
      <c r="F94" t="n">
        <v>0.003595685177786656</v>
      </c>
      <c r="G94" t="n">
        <v>0.001598082301238514</v>
      </c>
      <c r="H94" t="n">
        <v>0.001598082301238514</v>
      </c>
      <c r="I94" t="n">
        <v>0.003196164602477028</v>
      </c>
      <c r="J94" t="n">
        <v>0.003196164602477028</v>
      </c>
      <c r="K94" t="n">
        <v>0.0007990411506192569</v>
      </c>
      <c r="L94" t="n">
        <v>0.003595685177786656</v>
      </c>
      <c r="M94" t="n">
        <v>0.001198561725928885</v>
      </c>
      <c r="N94" t="n">
        <v>0.001997602876548142</v>
      </c>
    </row>
    <row r="95">
      <c r="A95" t="inlineStr">
        <is>
          <t>2017-04</t>
        </is>
      </c>
      <c r="B95" t="n">
        <v>1</v>
      </c>
      <c r="C95" t="n">
        <v>0.006205673758865249</v>
      </c>
      <c r="D95" t="n">
        <v>0.002216312056737589</v>
      </c>
      <c r="E95" t="n">
        <v>0.001773049645390071</v>
      </c>
      <c r="F95" t="n">
        <v>0.002659574468085106</v>
      </c>
      <c r="G95" t="n">
        <v>0.002659574468085106</v>
      </c>
      <c r="H95" t="n">
        <v>0.003546099290780142</v>
      </c>
      <c r="I95" t="n">
        <v>0.003102836879432624</v>
      </c>
      <c r="J95" t="n">
        <v>0.003102836879432624</v>
      </c>
      <c r="K95" t="n">
        <v>0.001773049645390071</v>
      </c>
      <c r="L95" t="n">
        <v>0.002659574468085106</v>
      </c>
      <c r="M95" t="n">
        <v>0.0008865248226950354</v>
      </c>
      <c r="N95" t="n">
        <v>0.0004432624113475177</v>
      </c>
    </row>
    <row r="96">
      <c r="A96" t="inlineStr">
        <is>
          <t>2017-05</t>
        </is>
      </c>
      <c r="B96" t="n">
        <v>1</v>
      </c>
      <c r="C96" t="n">
        <v>0.004636337293538105</v>
      </c>
      <c r="D96" t="n">
        <v>0.004636337293538105</v>
      </c>
      <c r="E96" t="n">
        <v>0.002897710808461316</v>
      </c>
      <c r="F96" t="n">
        <v>0.002897710808461316</v>
      </c>
      <c r="G96" t="n">
        <v>0.003187481889307447</v>
      </c>
      <c r="H96" t="n">
        <v>0.004056795131845842</v>
      </c>
      <c r="I96" t="n">
        <v>0.001448855404230658</v>
      </c>
      <c r="J96" t="n">
        <v>0.002607939727615184</v>
      </c>
      <c r="K96" t="n">
        <v>0.002607939727615184</v>
      </c>
      <c r="L96" t="n">
        <v>0.002607939727615184</v>
      </c>
      <c r="M96" t="n">
        <v>0.003477252970153579</v>
      </c>
      <c r="N96" t="n">
        <v>0.002318168646769053</v>
      </c>
    </row>
    <row r="97">
      <c r="A97" t="inlineStr">
        <is>
          <t>2017-06</t>
        </is>
      </c>
      <c r="B97" t="n">
        <v>1</v>
      </c>
      <c r="C97" t="n">
        <v>0.004939084622983207</v>
      </c>
      <c r="D97" t="n">
        <v>0.003951267698386566</v>
      </c>
      <c r="E97" t="n">
        <v>0.004280540006585446</v>
      </c>
      <c r="F97" t="n">
        <v>0.002963450773789925</v>
      </c>
      <c r="G97" t="n">
        <v>0.003951267698386566</v>
      </c>
      <c r="H97" t="n">
        <v>0.003621995390187685</v>
      </c>
      <c r="I97" t="n">
        <v>0.002304906157392163</v>
      </c>
      <c r="J97" t="n">
        <v>0.001317089232795522</v>
      </c>
      <c r="K97" t="n">
        <v>0.001975633849193283</v>
      </c>
      <c r="L97" t="n">
        <v>0.002963450773789925</v>
      </c>
      <c r="M97" t="n">
        <v>0.003621995390187685</v>
      </c>
      <c r="N97" t="n">
        <v>0.001646361540994402</v>
      </c>
    </row>
    <row r="98">
      <c r="A98" t="inlineStr">
        <is>
          <t>2017-07</t>
        </is>
      </c>
      <c r="B98" t="n">
        <v>1</v>
      </c>
      <c r="C98" t="n">
        <v>0.005330490405117271</v>
      </c>
      <c r="D98" t="n">
        <v>0.003464818763326226</v>
      </c>
      <c r="E98" t="n">
        <v>0.002398720682302772</v>
      </c>
      <c r="F98" t="n">
        <v>0.002931769722814499</v>
      </c>
      <c r="G98" t="n">
        <v>0.002132196162046908</v>
      </c>
      <c r="H98" t="n">
        <v>0.003198294243070362</v>
      </c>
      <c r="I98" t="n">
        <v>0.001066098081023454</v>
      </c>
      <c r="J98" t="n">
        <v>0.001865671641791045</v>
      </c>
      <c r="K98" t="n">
        <v>0.002665245202558635</v>
      </c>
      <c r="L98" t="n">
        <v>0.002132196162046908</v>
      </c>
      <c r="M98" t="n">
        <v>0.002931769722814499</v>
      </c>
      <c r="N98" t="n">
        <v>0.001332622601279318</v>
      </c>
    </row>
    <row r="99">
      <c r="A99" t="inlineStr">
        <is>
          <t>2017-08</t>
        </is>
      </c>
      <c r="B99" t="n">
        <v>1</v>
      </c>
      <c r="C99" t="n">
        <v>0.006901651466600937</v>
      </c>
      <c r="D99" t="n">
        <v>0.003450825733300468</v>
      </c>
      <c r="E99" t="n">
        <v>0.002711363076164654</v>
      </c>
      <c r="F99" t="n">
        <v>0.003450825733300468</v>
      </c>
      <c r="G99" t="n">
        <v>0.005176238599950703</v>
      </c>
      <c r="H99" t="n">
        <v>0.002957850628543258</v>
      </c>
      <c r="I99" t="n">
        <v>0.002711363076164654</v>
      </c>
      <c r="J99" t="n">
        <v>0.001478925314271629</v>
      </c>
      <c r="K99" t="n">
        <v>0.001478925314271629</v>
      </c>
      <c r="L99" t="n">
        <v>0.002464875523786049</v>
      </c>
      <c r="M99" t="n">
        <v>0.001971900419028839</v>
      </c>
      <c r="N99" t="n">
        <v>0.001232437761893024</v>
      </c>
    </row>
    <row r="100">
      <c r="A100" t="inlineStr">
        <is>
          <t>2017-09</t>
        </is>
      </c>
      <c r="B100" t="n">
        <v>1</v>
      </c>
      <c r="C100" t="n">
        <v>0.006993006993006993</v>
      </c>
      <c r="D100" t="n">
        <v>0.005494505494505495</v>
      </c>
      <c r="E100" t="n">
        <v>0.002747252747252747</v>
      </c>
      <c r="F100" t="n">
        <v>0.004495504495504496</v>
      </c>
      <c r="G100" t="n">
        <v>0.002247752247752248</v>
      </c>
      <c r="H100" t="n">
        <v>0.002247752247752248</v>
      </c>
      <c r="I100" t="n">
        <v>0.002497502497502498</v>
      </c>
      <c r="J100" t="n">
        <v>0.002747252747252747</v>
      </c>
      <c r="K100" t="n">
        <v>0.001748251748251748</v>
      </c>
      <c r="L100" t="n">
        <v>0.002497502497502498</v>
      </c>
      <c r="M100" t="n">
        <v>0.0007492507492507493</v>
      </c>
    </row>
    <row r="101">
      <c r="A101" t="inlineStr">
        <is>
          <t>2017-10</t>
        </is>
      </c>
      <c r="B101" t="n">
        <v>1</v>
      </c>
      <c r="C101" t="n">
        <v>0.007162661737523105</v>
      </c>
      <c r="D101" t="n">
        <v>0.002541589648798521</v>
      </c>
      <c r="E101" t="n">
        <v>0.0009242144177449168</v>
      </c>
      <c r="F101" t="n">
        <v>0.002310536044362292</v>
      </c>
      <c r="G101" t="n">
        <v>0.002079482439926063</v>
      </c>
      <c r="H101" t="n">
        <v>0.002079482439926063</v>
      </c>
      <c r="I101" t="n">
        <v>0.003696857670979667</v>
      </c>
      <c r="J101" t="n">
        <v>0.00277264325323475</v>
      </c>
      <c r="K101" t="n">
        <v>0.001848428835489834</v>
      </c>
      <c r="L101" t="n">
        <v>0.002079482439926063</v>
      </c>
    </row>
    <row r="102">
      <c r="A102" t="inlineStr">
        <is>
          <t>2017-11</t>
        </is>
      </c>
      <c r="B102" t="n">
        <v>1</v>
      </c>
      <c r="C102" t="n">
        <v>0.0056657223796034</v>
      </c>
      <c r="D102" t="n">
        <v>0.00368271954674221</v>
      </c>
      <c r="E102" t="n">
        <v>0.00169971671388102</v>
      </c>
      <c r="F102" t="n">
        <v>0.00169971671388102</v>
      </c>
      <c r="G102" t="n">
        <v>0.001841359773371105</v>
      </c>
      <c r="H102" t="n">
        <v>0.00113314447592068</v>
      </c>
      <c r="I102" t="n">
        <v>0.001841359773371105</v>
      </c>
      <c r="J102" t="n">
        <v>0.001274787535410765</v>
      </c>
      <c r="K102" t="n">
        <v>0.0005665722379603399</v>
      </c>
    </row>
    <row r="103">
      <c r="A103" t="inlineStr">
        <is>
          <t>2017-12</t>
        </is>
      </c>
      <c r="B103" t="n">
        <v>1</v>
      </c>
      <c r="C103" t="n">
        <v>0.002060696890221056</v>
      </c>
      <c r="D103" t="n">
        <v>0.002810041213937804</v>
      </c>
      <c r="E103" t="n">
        <v>0.003372049456725365</v>
      </c>
      <c r="F103" t="n">
        <v>0.002622705133008617</v>
      </c>
      <c r="G103" t="n">
        <v>0.002060696890221056</v>
      </c>
      <c r="H103" t="n">
        <v>0.001686024728362683</v>
      </c>
      <c r="I103" t="n">
        <v>0.000187336080929187</v>
      </c>
      <c r="J103" t="n">
        <v>0.00187336080929187</v>
      </c>
    </row>
    <row r="104">
      <c r="A104" t="inlineStr">
        <is>
          <t>2018-01</t>
        </is>
      </c>
      <c r="B104" t="n">
        <v>1</v>
      </c>
      <c r="C104" t="n">
        <v>0.003361590178310436</v>
      </c>
      <c r="D104" t="n">
        <v>0.003653902367728734</v>
      </c>
      <c r="E104" t="n">
        <v>0.002923121894182987</v>
      </c>
      <c r="F104" t="n">
        <v>0.002923121894182987</v>
      </c>
      <c r="G104" t="n">
        <v>0.001607717041800643</v>
      </c>
      <c r="H104" t="n">
        <v>0.001753873136509792</v>
      </c>
      <c r="I104" t="n">
        <v>0.00233849751534639</v>
      </c>
    </row>
    <row r="105">
      <c r="A105" t="inlineStr">
        <is>
          <t>2018-02</t>
        </is>
      </c>
      <c r="B105" t="n">
        <v>1</v>
      </c>
      <c r="C105" t="n">
        <v>0.003498727735368957</v>
      </c>
      <c r="D105" t="n">
        <v>0.003975826972010178</v>
      </c>
      <c r="E105" t="n">
        <v>0.003021628498727735</v>
      </c>
      <c r="F105" t="n">
        <v>0.002544529262086514</v>
      </c>
      <c r="G105" t="n">
        <v>0.0022264631043257</v>
      </c>
      <c r="H105" t="n">
        <v>0.002067430025445292</v>
      </c>
    </row>
    <row r="106">
      <c r="A106" t="inlineStr">
        <is>
          <t>2018-03</t>
        </is>
      </c>
      <c r="B106" t="n">
        <v>1</v>
      </c>
      <c r="C106" t="n">
        <v>0.003985828166519044</v>
      </c>
      <c r="D106" t="n">
        <v>0.002952465308532625</v>
      </c>
      <c r="E106" t="n">
        <v>0.002952465308532625</v>
      </c>
      <c r="F106" t="n">
        <v>0.00118098612341305</v>
      </c>
      <c r="G106" t="n">
        <v>0.00118098612341305</v>
      </c>
    </row>
    <row r="107">
      <c r="A107" t="inlineStr">
        <is>
          <t>2018-04</t>
        </is>
      </c>
      <c r="B107" t="n">
        <v>1</v>
      </c>
      <c r="C107" t="n">
        <v>0.005925250683682771</v>
      </c>
      <c r="D107" t="n">
        <v>0.003038590094196293</v>
      </c>
      <c r="E107" t="n">
        <v>0.002430872075357034</v>
      </c>
      <c r="F107" t="n">
        <v>0.001367365542388332</v>
      </c>
    </row>
    <row r="108">
      <c r="A108" t="inlineStr">
        <is>
          <t>2018-05</t>
        </is>
      </c>
      <c r="B108" t="n">
        <v>1</v>
      </c>
      <c r="C108" t="n">
        <v>0.00522594528127882</v>
      </c>
      <c r="D108" t="n">
        <v>0.00261297264063941</v>
      </c>
      <c r="E108" t="n">
        <v>0.001844451275745466</v>
      </c>
    </row>
    <row r="109">
      <c r="A109" t="inlineStr">
        <is>
          <t>2018-06</t>
        </is>
      </c>
      <c r="B109" t="n">
        <v>1</v>
      </c>
      <c r="C109" t="n">
        <v>0.004253147329023477</v>
      </c>
      <c r="D109" t="n">
        <v>0.002722014290575025</v>
      </c>
    </row>
    <row r="110">
      <c r="A110" t="inlineStr">
        <is>
          <t>2018-07</t>
        </is>
      </c>
      <c r="B110" t="n">
        <v>1</v>
      </c>
      <c r="C110" t="n">
        <v>0.005210959825180704</v>
      </c>
    </row>
    <row r="111">
      <c r="A111" t="inlineStr">
        <is>
          <t>2018-08</t>
        </is>
      </c>
      <c r="B111" t="n">
        <v>1</v>
      </c>
    </row>
  </sheetData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2026-05-07T19:10:20Z</dcterms:created>
  <dcterms:modified xmlns:dcterms="http://purl.org/dc/terms/" xmlns:xsi="http://www.w3.org/2001/XMLSchema-instance" xsi:type="dcterms:W3CDTF">2026-05-07T19:10:20Z</dcterms:modified>
</cp:coreProperties>
</file>