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tables/table11.xml" ContentType="application/vnd.openxmlformats-officedocument.spreadsheetml.table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olist-project\output\"/>
    </mc:Choice>
  </mc:AlternateContent>
  <xr:revisionPtr revIDLastSave="0" documentId="13_ncr:1_{7F4FACB7-38DC-43C0-AC1B-1FCCB130752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01_Cover" sheetId="1" r:id="rId1"/>
    <sheet name="02_Data_Dictionary" sheetId="2" r:id="rId2"/>
    <sheet name="03_KPI_Dashboard" sheetId="3" r:id="rId3"/>
    <sheet name="04_Revenue_Trend" sheetId="4" r:id="rId4"/>
    <sheet name="05_RFM_Segments" sheetId="5" r:id="rId5"/>
    <sheet name="06_Cohort_Heatmap" sheetId="6" r:id="rId6"/>
    <sheet name="07_ROI_Calculator" sheetId="7" r:id="rId7"/>
    <sheet name="08_Installments" sheetId="8" r:id="rId8"/>
    <sheet name="09_Logistics" sheetId="9" r:id="rId9"/>
    <sheet name="10_Pivot_Analysis" sheetId="10" r:id="rId10"/>
    <sheet name="_data_calc" sheetId="11" state="hidden" r:id="rId11"/>
  </sheets>
  <definedNames>
    <definedName name="ARPU">'07_ROI_Calculator'!$C$8</definedName>
    <definedName name="At_Risk_Count">'07_ROI_Calculator'!$C$7</definedName>
    <definedName name="CRM_Cost">'07_ROI_Calculator'!$C$10</definedName>
    <definedName name="Repeat_Spend">'07_ROI_Calculator'!$C$9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" i="11" l="1"/>
  <c r="B136" i="11"/>
  <c r="B135" i="11"/>
  <c r="B138" i="11" s="1"/>
  <c r="D11" i="1" s="1"/>
  <c r="B134" i="11"/>
  <c r="B133" i="11"/>
  <c r="B137" i="11" s="1"/>
  <c r="B11" i="1" s="1"/>
  <c r="C128" i="11"/>
  <c r="C127" i="11"/>
  <c r="C126" i="11"/>
  <c r="C125" i="11"/>
  <c r="C120" i="11"/>
  <c r="C119" i="11"/>
  <c r="C118" i="11"/>
  <c r="C117" i="11"/>
  <c r="C116" i="11"/>
  <c r="D20" i="9"/>
  <c r="E20" i="9" s="1"/>
  <c r="C20" i="9"/>
  <c r="D19" i="9"/>
  <c r="E19" i="9" s="1"/>
  <c r="C19" i="9"/>
  <c r="E18" i="9"/>
  <c r="D18" i="9"/>
  <c r="C18" i="9"/>
  <c r="D17" i="9"/>
  <c r="C17" i="9"/>
  <c r="E17" i="9" s="1"/>
  <c r="D16" i="9"/>
  <c r="C16" i="9"/>
  <c r="E16" i="9" s="1"/>
  <c r="D15" i="9"/>
  <c r="E15" i="9" s="1"/>
  <c r="C15" i="9"/>
  <c r="D14" i="9"/>
  <c r="E14" i="9" s="1"/>
  <c r="C14" i="9"/>
  <c r="D13" i="9"/>
  <c r="E13" i="9" s="1"/>
  <c r="C13" i="9"/>
  <c r="D12" i="9"/>
  <c r="E12" i="9" s="1"/>
  <c r="C12" i="9"/>
  <c r="D11" i="9"/>
  <c r="E11" i="9" s="1"/>
  <c r="C11" i="9"/>
  <c r="E10" i="9"/>
  <c r="D10" i="9"/>
  <c r="C10" i="9"/>
  <c r="D9" i="9"/>
  <c r="E9" i="9" s="1"/>
  <c r="C9" i="9"/>
  <c r="D8" i="9"/>
  <c r="C8" i="9"/>
  <c r="E8" i="9" s="1"/>
  <c r="D7" i="9"/>
  <c r="E7" i="9" s="1"/>
  <c r="C7" i="9"/>
  <c r="D6" i="9"/>
  <c r="E6" i="9" s="1"/>
  <c r="C6" i="9"/>
  <c r="E10" i="8"/>
  <c r="F10" i="8" s="1"/>
  <c r="C10" i="8"/>
  <c r="D10" i="8" s="1"/>
  <c r="E9" i="8"/>
  <c r="F9" i="8" s="1"/>
  <c r="D9" i="8"/>
  <c r="C9" i="8"/>
  <c r="E8" i="8"/>
  <c r="F8" i="8" s="1"/>
  <c r="C8" i="8"/>
  <c r="D8" i="8" s="1"/>
  <c r="E7" i="8"/>
  <c r="F7" i="8" s="1"/>
  <c r="D7" i="8"/>
  <c r="C7" i="8"/>
  <c r="E6" i="8"/>
  <c r="F6" i="8" s="1"/>
  <c r="C6" i="8"/>
  <c r="D6" i="8" s="1"/>
  <c r="F18" i="7"/>
  <c r="E18" i="7"/>
  <c r="D18" i="7"/>
  <c r="C18" i="7"/>
  <c r="D16" i="7"/>
  <c r="C8" i="7"/>
  <c r="C7" i="7"/>
  <c r="C17" i="7" s="1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O9" i="6"/>
  <c r="N9" i="6"/>
  <c r="M9" i="6"/>
  <c r="L9" i="6"/>
  <c r="K9" i="6"/>
  <c r="J9" i="6"/>
  <c r="I9" i="6"/>
  <c r="H9" i="6"/>
  <c r="G9" i="6"/>
  <c r="F9" i="6"/>
  <c r="E9" i="6"/>
  <c r="D9" i="6"/>
  <c r="C9" i="6"/>
  <c r="O8" i="6"/>
  <c r="N8" i="6"/>
  <c r="M8" i="6"/>
  <c r="L8" i="6"/>
  <c r="K8" i="6"/>
  <c r="J8" i="6"/>
  <c r="I8" i="6"/>
  <c r="H8" i="6"/>
  <c r="G8" i="6"/>
  <c r="F8" i="6"/>
  <c r="E8" i="6"/>
  <c r="D8" i="6"/>
  <c r="C8" i="6"/>
  <c r="O7" i="6"/>
  <c r="N7" i="6"/>
  <c r="M7" i="6"/>
  <c r="L7" i="6"/>
  <c r="K7" i="6"/>
  <c r="J7" i="6"/>
  <c r="I7" i="6"/>
  <c r="H7" i="6"/>
  <c r="G7" i="6"/>
  <c r="F7" i="6"/>
  <c r="E7" i="6"/>
  <c r="D7" i="6"/>
  <c r="C7" i="6"/>
  <c r="O6" i="6"/>
  <c r="N6" i="6"/>
  <c r="M6" i="6"/>
  <c r="L6" i="6"/>
  <c r="K6" i="6"/>
  <c r="J6" i="6"/>
  <c r="I6" i="6"/>
  <c r="H6" i="6"/>
  <c r="G6" i="6"/>
  <c r="F6" i="6"/>
  <c r="E6" i="6"/>
  <c r="D6" i="6"/>
  <c r="C6" i="6"/>
  <c r="H11" i="5"/>
  <c r="G11" i="5"/>
  <c r="F11" i="5"/>
  <c r="E11" i="5"/>
  <c r="D11" i="5"/>
  <c r="C11" i="5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E39" i="3"/>
  <c r="C39" i="3"/>
  <c r="E38" i="3"/>
  <c r="C38" i="3"/>
  <c r="D38" i="3" s="1"/>
  <c r="E37" i="3"/>
  <c r="C37" i="3"/>
  <c r="D39" i="3" s="1"/>
  <c r="E36" i="3"/>
  <c r="C36" i="3"/>
  <c r="D36" i="3" s="1"/>
  <c r="C31" i="3"/>
  <c r="D31" i="3" s="1"/>
  <c r="C30" i="3"/>
  <c r="C29" i="3"/>
  <c r="D29" i="3" s="1"/>
  <c r="C28" i="3"/>
  <c r="D28" i="3" s="1"/>
  <c r="C27" i="3"/>
  <c r="D30" i="3" s="1"/>
  <c r="F22" i="3"/>
  <c r="E22" i="3"/>
  <c r="D22" i="3"/>
  <c r="C22" i="3"/>
  <c r="F21" i="3"/>
  <c r="E21" i="3"/>
  <c r="D21" i="3"/>
  <c r="C21" i="3"/>
  <c r="F20" i="3"/>
  <c r="E20" i="3"/>
  <c r="D20" i="3"/>
  <c r="C20" i="3"/>
  <c r="C15" i="3"/>
  <c r="C14" i="3"/>
  <c r="C13" i="3"/>
  <c r="C12" i="3"/>
  <c r="C11" i="3"/>
  <c r="C10" i="3"/>
  <c r="C9" i="3"/>
  <c r="C8" i="3"/>
  <c r="C7" i="3"/>
  <c r="C11" i="1"/>
  <c r="C19" i="7" l="1"/>
  <c r="C20" i="7"/>
  <c r="D27" i="3"/>
  <c r="D17" i="7"/>
  <c r="E17" i="7"/>
  <c r="F17" i="7"/>
  <c r="C16" i="7"/>
  <c r="D37" i="3"/>
  <c r="E16" i="7"/>
  <c r="F16" i="7"/>
  <c r="F20" i="7" l="1"/>
  <c r="F19" i="7"/>
  <c r="E20" i="7"/>
  <c r="E19" i="7"/>
  <c r="D20" i="7"/>
  <c r="D19" i="7"/>
</calcChain>
</file>

<file path=xl/sharedStrings.xml><?xml version="1.0" encoding="utf-8"?>
<sst xmlns="http://schemas.openxmlformats.org/spreadsheetml/2006/main" count="820" uniqueCount="400">
  <si>
    <t>Olist Brazilian E-Commerce</t>
  </si>
  <si>
    <t>End-to-End Customer Analytics — SQL · RFM · Cohort · ROI</t>
  </si>
  <si>
    <t>Author</t>
  </si>
  <si>
    <t>Jen-Ho Cheng</t>
  </si>
  <si>
    <t>Role</t>
  </si>
  <si>
    <t>Data / Product Analyst — E-commerce</t>
  </si>
  <si>
    <t>Dataset</t>
  </si>
  <si>
    <t>Olist (Brazil) · 99,441 orders · 2016–2018</t>
  </si>
  <si>
    <t>THREE HEADLINE FINDINGS (formula-driven)</t>
  </si>
  <si>
    <t>Win-back revenue opportunity</t>
  </si>
  <si>
    <t>Cross-month repeat rate</t>
  </si>
  <si>
    <t>ARPU lift from 7-10 installments</t>
  </si>
  <si>
    <t>21,975 at-risk customers · 9.4× ROI aggressive scenario</t>
  </si>
  <si>
    <t>Platform-level retention failure (vs. 5-15% mature benchmark)</t>
  </si>
  <si>
    <t>R$ 334 vs R$ 96 single payment — Brazil's hidden CRM</t>
  </si>
  <si>
    <t>→  LIVE QUERY:  Data → Queries &amp; Connections → right-click 'qry_orders_live' → Load To...  (M code fetches 99K orders fresh from GitHub raw)</t>
  </si>
  <si>
    <t>→  INTERACTIVE PivotTable on sheet  10_Pivot_Analysis  (drag fields to change view, right-click for Slicer, double-click to drill)</t>
  </si>
  <si>
    <t>SHEETS IN THIS WORKBOOK</t>
  </si>
  <si>
    <t>#</t>
  </si>
  <si>
    <t>Sheet</t>
  </si>
  <si>
    <t>What it shows</t>
  </si>
  <si>
    <t>02</t>
  </si>
  <si>
    <t>02_Data_Dictionary</t>
  </si>
  <si>
    <t>9-table schema + 3-row samples</t>
  </si>
  <si>
    <t>03</t>
  </si>
  <si>
    <t>03_KPI_Dashboard</t>
  </si>
  <si>
    <t>Scale / Yearly KPIs / Status / Payment — XLOOKUP</t>
  </si>
  <si>
    <t>04</t>
  </si>
  <si>
    <t>04_Revenue_Trend</t>
  </si>
  <si>
    <t>Monthly revenue + line chart</t>
  </si>
  <si>
    <t>05</t>
  </si>
  <si>
    <t>05_RFM_Segments</t>
  </si>
  <si>
    <t>RFM segments (NTILE) + Pareto + icon set</t>
  </si>
  <si>
    <t>06</t>
  </si>
  <si>
    <t>06_Cohort_Heatmap</t>
  </si>
  <si>
    <t>13-month retention matrix (color scale)</t>
  </si>
  <si>
    <t>07</t>
  </si>
  <si>
    <t>07_ROI_Calculator</t>
  </si>
  <si>
    <t>Live formulas + Named Ranges</t>
  </si>
  <si>
    <t>08</t>
  </si>
  <si>
    <t>08_Installments</t>
  </si>
  <si>
    <t>AOV + repeat rate by installment bucket</t>
  </si>
  <si>
    <t>09</t>
  </si>
  <si>
    <t>09_Logistics</t>
  </si>
  <si>
    <t>State ETA gap with 3-color scale</t>
  </si>
  <si>
    <t>10</t>
  </si>
  <si>
    <t>10_Pivot_Analysis</t>
  </si>
  <si>
    <t>★ Real PivotTable: state × payment_type</t>
  </si>
  <si>
    <t>LIVE LINKS</t>
  </si>
  <si>
    <t>Resource</t>
  </si>
  <si>
    <t>URL</t>
  </si>
  <si>
    <t>Description</t>
  </si>
  <si>
    <t>Streamlit App</t>
  </si>
  <si>
    <t>https://olist-jenho.streamlit.app/</t>
  </si>
  <si>
    <t>Interactive 5-page dashboard</t>
  </si>
  <si>
    <t>HTML Dashboard</t>
  </si>
  <si>
    <t>https://kengkeng44.github.io/olist-project/</t>
  </si>
  <si>
    <t>Static GitHub Pages</t>
  </si>
  <si>
    <t>Tableau Public</t>
  </si>
  <si>
    <t>https://public.tableau.com/app/profile/jenho.cheng/viz/2_17739060990590/1?publish=yes</t>
  </si>
  <si>
    <t>Tableau version</t>
  </si>
  <si>
    <t>GitHub Repo</t>
  </si>
  <si>
    <t>https://github.com/kengkeng44/olist-project</t>
  </si>
  <si>
    <t>Full source + SQL + notebook</t>
  </si>
  <si>
    <t>Pitch Deck</t>
  </si>
  <si>
    <t>https://github.com/kengkeng44/olist-project/blob/master/slides/portfolio.pdf</t>
  </si>
  <si>
    <t>13-slide PM deck</t>
  </si>
  <si>
    <t>TECH STACK</t>
  </si>
  <si>
    <t>Python</t>
  </si>
  <si>
    <t>SQLite</t>
  </si>
  <si>
    <t>SQL (NTILE)</t>
  </si>
  <si>
    <t>pandas</t>
  </si>
  <si>
    <t>matplotlib</t>
  </si>
  <si>
    <t>Streamlit</t>
  </si>
  <si>
    <t>Tableau</t>
  </si>
  <si>
    <t>Data Dictionary</t>
  </si>
  <si>
    <t>9 tables · 1.55M rows. 3-row samples below.</t>
  </si>
  <si>
    <t>9 source tables</t>
  </si>
  <si>
    <t>Table</t>
  </si>
  <si>
    <t>Rows</t>
  </si>
  <si>
    <t>What's in it</t>
  </si>
  <si>
    <t>olist_orders_dataset</t>
  </si>
  <si>
    <t>Order header + 8 timestamps (purchase → delivery).</t>
  </si>
  <si>
    <t>olist_customers_dataset</t>
  </si>
  <si>
    <t>customer_id (per order) + customer_unique_id + ZIP.</t>
  </si>
  <si>
    <t>olist_order_items_dataset</t>
  </si>
  <si>
    <t>Line items: 1 row per (order, product, seller) with price + freight.</t>
  </si>
  <si>
    <t>olist_order_payments_dataset</t>
  </si>
  <si>
    <t>Payment type (boleto / credit_card / voucher / debit_card) + installments.</t>
  </si>
  <si>
    <t>olist_order_reviews_dataset</t>
  </si>
  <si>
    <t>1-5 star reviews + comment text.</t>
  </si>
  <si>
    <t>olist_products_dataset</t>
  </si>
  <si>
    <t>Product attributes (category, weight, dimensions).</t>
  </si>
  <si>
    <t>olist_sellers_dataset</t>
  </si>
  <si>
    <t>Seller ZIP + state.</t>
  </si>
  <si>
    <t>olist_geolocation_dataset</t>
  </si>
  <si>
    <t>ZIP-level lat/lng (state-level aggregations only).</t>
  </si>
  <si>
    <t>product_category_name_translation</t>
  </si>
  <si>
    <t>PT-&gt;EN mapping for the 71 product categories.</t>
  </si>
  <si>
    <t>olist_orders_dataset.csv — first 3 rows</t>
  </si>
  <si>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</si>
  <si>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</si>
  <si>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</si>
  <si>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</si>
  <si>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</si>
  <si>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</si>
  <si>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</si>
  <si>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</si>
  <si>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e481f51cbdc54678b7cc49136f2d6af7</t>
  </si>
  <si>
    <t>9ef432eb6251297304e76186b10a928d</t>
  </si>
  <si>
    <t>delivered</t>
  </si>
  <si>
    <t>2017-10-02 10:56:33</t>
  </si>
  <si>
    <t>2017-10-02 11:07:15</t>
  </si>
  <si>
    <t>2017-10-04 19:55:00</t>
  </si>
  <si>
    <t>2017-10-10 21:25:13</t>
  </si>
  <si>
    <t>2017-10-18 00:00:00</t>
  </si>
  <si>
    <t>53cdb2fc8bc7dce0b6741e2150273451</t>
  </si>
  <si>
    <t>b0830fb4747a6c6d20dea0b8c802d7ef</t>
  </si>
  <si>
    <t>2018-07-24 20:41:37</t>
  </si>
  <si>
    <t>2018-07-26 03:24:27</t>
  </si>
  <si>
    <t>2018-07-26 14:31:00</t>
  </si>
  <si>
    <t>2018-08-07 15:27:45</t>
  </si>
  <si>
    <t>2018-08-13 00:00:00</t>
  </si>
  <si>
    <t>47770eb9100c2d0c44946d9cf07ec65d</t>
  </si>
  <si>
    <t>41ce2a54c0b03bf3443c3d931a367089</t>
  </si>
  <si>
    <t>2018-08-08 08:38:49</t>
  </si>
  <si>
    <t>2018-08-08 08:55:23</t>
  </si>
  <si>
    <t>2018-08-08 13:50:00</t>
  </si>
  <si>
    <t>2018-08-17 18:06:29</t>
  </si>
  <si>
    <t>2018-09-04 00:00:00</t>
  </si>
  <si>
    <t>olist_customers_dataset.csv — first 3 rows</t>
  </si>
  <si>
    <t>customer_unique_id</t>
  </si>
  <si>
    <t>customer_zip_code_prefix</t>
  </si>
  <si>
    <t>customer_city</t>
  </si>
  <si>
    <t>customer_state</t>
  </si>
  <si>
    <t>06b8999e2fba1a1fbc88172c00ba8bc7</t>
  </si>
  <si>
    <t>861eff4711a542e4b93843c6dd7febb0</t>
  </si>
  <si>
    <t>franca</t>
  </si>
  <si>
    <t>SP</t>
  </si>
  <si>
    <t>879864dab9bc3047522c92c82e1212b8</t>
  </si>
  <si>
    <t>4c93744516667ad3b8f1fb645a3116a4</t>
  </si>
  <si>
    <t>jaragua do sul</t>
  </si>
  <si>
    <t>SC</t>
  </si>
  <si>
    <t>5e274e7a0c3809e14aba7ad5aae0d407</t>
  </si>
  <si>
    <t>57b2a98a409812fe9618067b6b8ebe4f</t>
  </si>
  <si>
    <t>timoteo</t>
  </si>
  <si>
    <t>MG</t>
  </si>
  <si>
    <t>olist_order_items_dataset.csv — first 3 rows</t>
  </si>
  <si>
    <t>order_item_id</t>
  </si>
  <si>
    <t>product_id</t>
  </si>
  <si>
    <t>seller_id</t>
  </si>
  <si>
    <t>shipping_limit_date</t>
  </si>
  <si>
    <t>price</t>
  </si>
  <si>
    <t>freight_value</t>
  </si>
  <si>
    <t>00010242fe8c5a6d1ba2dd792cb16214</t>
  </si>
  <si>
    <t>4244733e06e7ecb4970a6e2683c13e61</t>
  </si>
  <si>
    <t>48436dade18ac8b2bce089ec2a041202</t>
  </si>
  <si>
    <t>2017-09-19 09:45:35</t>
  </si>
  <si>
    <t>0008288aa423d2a3f00fcb17cd7d8719</t>
  </si>
  <si>
    <t>368c6c730842d78016ad823897a372db</t>
  </si>
  <si>
    <t>1f50f920176fa81dab994f9023523100</t>
  </si>
  <si>
    <t>2018-02-21 02:55:52</t>
  </si>
  <si>
    <t>00143d0f86d6fbd9f9b38ab440ac16f5</t>
  </si>
  <si>
    <t>e95ee6822b66ac6058e2e4aff656071a</t>
  </si>
  <si>
    <t>a17f621c590ea0fab3d5d883e1630ec6</t>
  </si>
  <si>
    <t>2017-10-20 16:07:52</t>
  </si>
  <si>
    <t>olist_order_payments_dataset.csv — first 3 rows</t>
  </si>
  <si>
    <t>payment_sequential</t>
  </si>
  <si>
    <t>payment_type</t>
  </si>
  <si>
    <t>payment_installments</t>
  </si>
  <si>
    <t>payment_value</t>
  </si>
  <si>
    <t>b81ef226f3fe1789b1e8b2acac839d17</t>
  </si>
  <si>
    <t>credit_card</t>
  </si>
  <si>
    <t>0573b5e23cbd798006520e1d5b4c6714</t>
  </si>
  <si>
    <t>boleto</t>
  </si>
  <si>
    <t>5cfd514482e22bc992e7693f0e3e8df7</t>
  </si>
  <si>
    <t>voucher</t>
  </si>
  <si>
    <t>olist_order_reviews_dataset.csv — first 3 rows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</si>
  <si>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</si>
  <si>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</si>
  <si>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</si>
  <si>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</si>
  <si>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</si>
  <si>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</si>
  <si>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8670d52e15e00043ae7de4c01cc2fe06</t>
  </si>
  <si>
    <t>b9bf720beb4ab3728760088589c62129</t>
  </si>
  <si>
    <t>recomendo</t>
  </si>
  <si>
    <t>aparelho eficiente. no site a marca do aparelho esta impresso como 3desinfector e ao chegar esta com outro nome...atualizar com a marca correta uma vez que é o mesmo aparelho</t>
  </si>
  <si>
    <t>2018-05-22 00:00:00</t>
  </si>
  <si>
    <t>2018-05-23 16:45:47</t>
  </si>
  <si>
    <t>3948b09f7c818e2d86c9a546758b2335</t>
  </si>
  <si>
    <t>e51478e7e277a83743b6f9991dbfa3fb</t>
  </si>
  <si>
    <t>Super recomendo</t>
  </si>
  <si>
    <t>Vendedor confiável, produto ok e entrega antes do prazo.</t>
  </si>
  <si>
    <t>2018-05-23 00:00:00</t>
  </si>
  <si>
    <t>2018-05-24 03:00:01</t>
  </si>
  <si>
    <t>373cbeecea8286a2b66c97b1b157ec46</t>
  </si>
  <si>
    <t>583174fbe37d3d5f0d6661be3aad1786</t>
  </si>
  <si>
    <t xml:space="preserve">Não chegou meu produto </t>
  </si>
  <si>
    <t>Péssimo</t>
  </si>
  <si>
    <t>2018-08-15 00:00:00</t>
  </si>
  <si>
    <t>2018-08-15 04:10:37</t>
  </si>
  <si>
    <t>Data Overview &amp; KPIs</t>
  </si>
  <si>
    <t>Scale &amp; Coverage</t>
  </si>
  <si>
    <t>Metric</t>
  </si>
  <si>
    <t>Value</t>
  </si>
  <si>
    <t>Total orders</t>
  </si>
  <si>
    <t>Unique customers</t>
  </si>
  <si>
    <t>Sellers</t>
  </si>
  <si>
    <t>Products</t>
  </si>
  <si>
    <t>Product categories</t>
  </si>
  <si>
    <t>States covered</t>
  </si>
  <si>
    <t>Cities covered</t>
  </si>
  <si>
    <t>Total GMV (R$)</t>
  </si>
  <si>
    <t>AOV (R$)</t>
  </si>
  <si>
    <t>Year-over-Year KPIs</t>
  </si>
  <si>
    <t>Year</t>
  </si>
  <si>
    <t>GMV (R$ M)</t>
  </si>
  <si>
    <t>Orders</t>
  </si>
  <si>
    <t>Avg Review</t>
  </si>
  <si>
    <t>Avg Delivery (days)</t>
  </si>
  <si>
    <t>Order Status Distribution (from raw)</t>
  </si>
  <si>
    <t>Status</t>
  </si>
  <si>
    <t>Share</t>
  </si>
  <si>
    <t>shipped</t>
  </si>
  <si>
    <t>canceled</t>
  </si>
  <si>
    <t>unavailable</t>
  </si>
  <si>
    <t>other</t>
  </si>
  <si>
    <t>Payment Mix (from raw)</t>
  </si>
  <si>
    <t>Payment type</t>
  </si>
  <si>
    <t>Avg installments</t>
  </si>
  <si>
    <t>debit_card</t>
  </si>
  <si>
    <t>Monthly Revenue Trend (2017–2018)</t>
  </si>
  <si>
    <t>Month</t>
  </si>
  <si>
    <t>Revenue (R$)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</si>
  <si>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</si>
  <si>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</si>
  <si>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</si>
  <si>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</si>
  <si>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</si>
  <si>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</si>
  <si>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</si>
  <si>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</si>
  <si>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</si>
  <si>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</si>
  <si>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</si>
  <si>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</si>
  <si>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</si>
  <si>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</si>
  <si>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</si>
  <si>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</si>
  <si>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</si>
  <si>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</si>
  <si>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</si>
  <si>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</si>
  <si>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RFM Customer Segmentation</t>
  </si>
  <si>
    <t>Champions + At-Risk = 40% customers, 67% revenue.</t>
  </si>
  <si>
    <t>Segment</t>
  </si>
  <si>
    <t>Customers</t>
  </si>
  <si>
    <t>Customer %</t>
  </si>
  <si>
    <t>Revenue %</t>
  </si>
  <si>
    <t>ARPU (R$)</t>
  </si>
  <si>
    <t>Avg Recency (d)</t>
  </si>
  <si>
    <t>Persona / Action</t>
  </si>
  <si>
    <t>Champions</t>
  </si>
  <si>
    <t>Big-ticket buyer, ordered last month — protect, upsell</t>
  </si>
  <si>
    <t>At Risk</t>
  </si>
  <si>
    <t>High-value customer dormant ~13 months — top win-back priority</t>
  </si>
  <si>
    <t>Loyal Low-spend</t>
  </si>
  <si>
    <t>Recent + frequent but low ticket. Bundle / category expansion</t>
  </si>
  <si>
    <t>Average</t>
  </si>
  <si>
    <t>Mid-frequency, mid-value. Cross-sell test bed</t>
  </si>
  <si>
    <t>Potential New</t>
  </si>
  <si>
    <t>Just acquired, low ticket. Onboarding nurture</t>
  </si>
  <si>
    <t>Lost</t>
  </si>
  <si>
    <t>Long inactive + low value. Lowest priority</t>
  </si>
  <si>
    <t>Cohort Retention Heatmap</t>
  </si>
  <si>
    <t>Cell = % of cohort active in month N (benchmark M1: 5-15%).</t>
  </si>
  <si>
    <t>Cohort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</si>
  <si>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</si>
  <si>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</si>
  <si>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</si>
  <si>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</si>
  <si>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</si>
  <si>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</si>
  <si>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</si>
  <si>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</si>
  <si>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</si>
  <si>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</si>
  <si>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</si>
  <si>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</si>
  <si>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</si>
  <si>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At-Risk Win-back ROI Calculator</t>
  </si>
  <si>
    <t>Edit yellow cells — scenarios recompute live.</t>
  </si>
  <si>
    <t>INPUTS — edit me</t>
  </si>
  <si>
    <t>Parameter</t>
  </si>
  <si>
    <t>Format</t>
  </si>
  <si>
    <t>Notes</t>
  </si>
  <si>
    <t>At-risk customers (segment size)</t>
  </si>
  <si>
    <t>#,##0</t>
  </si>
  <si>
    <t>XLOOKUP from RFM segment</t>
  </si>
  <si>
    <t>Avg ARPU per customer (R$)</t>
  </si>
  <si>
    <t>0</t>
  </si>
  <si>
    <t>Repeat-spend rate (% of ARPU on win-back order)</t>
  </si>
  <si>
    <t>0%</t>
  </si>
  <si>
    <t>Modeling assumption (50% of historical avg)</t>
  </si>
  <si>
    <t>Total CRM cost (R$)</t>
  </si>
  <si>
    <t>Budget assumption (email + discount voucher)</t>
  </si>
  <si>
    <t>SCENARIO OUTPUTS — recomputes live</t>
  </si>
  <si>
    <t>Conservative (5%)</t>
  </si>
  <si>
    <t>Optimistic (10%)</t>
  </si>
  <si>
    <t>Aggressive (20%)</t>
  </si>
  <si>
    <t>Custom</t>
  </si>
  <si>
    <t>Recall rate (%)</t>
  </si>
  <si>
    <t>Recalled customers</t>
  </si>
  <si>
    <t>Incremental revenue (R$)</t>
  </si>
  <si>
    <t>CRM cost (R$)</t>
  </si>
  <si>
    <t>Net contribution (R$)</t>
  </si>
  <si>
    <t>ROI (×)</t>
  </si>
  <si>
    <t>FORMULA</t>
  </si>
  <si>
    <t>Incremental revenue  =  At_Risk_Count × Recall rate × ARPU × Repeat_Spend</t>
  </si>
  <si>
    <t>ROI                  =  Incremental revenue ÷ CRM_Cost</t>
  </si>
  <si>
    <t>Installments — AOV &amp; Repeat Rate by Bucket</t>
  </si>
  <si>
    <t>73.9% of orders use credit_card, avg 3.5 installments.</t>
  </si>
  <si>
    <t>Installment bucket</t>
  </si>
  <si>
    <t>Avg ticket (R$)</t>
  </si>
  <si>
    <t>Repeat rate</t>
  </si>
  <si>
    <t>1 (single)</t>
  </si>
  <si>
    <t>2-3 installments</t>
  </si>
  <si>
    <t>4-6 installments</t>
  </si>
  <si>
    <t>7-10 installments</t>
  </si>
  <si>
    <t>11+ installments</t>
  </si>
  <si>
    <t>Logistics — Estimated vs Actual Delivery (by State)</t>
  </si>
  <si>
    <t>National avg: 15.4 actual / 24 ETA days (36% under-promise).</t>
  </si>
  <si>
    <t>State</t>
  </si>
  <si>
    <t>Actual days</t>
  </si>
  <si>
    <t>Estimated days</t>
  </si>
  <si>
    <t>ETA gap (days)</t>
  </si>
  <si>
    <t>PR</t>
  </si>
  <si>
    <t>DF</t>
  </si>
  <si>
    <t>RJ</t>
  </si>
  <si>
    <t>RS</t>
  </si>
  <si>
    <t>GO</t>
  </si>
  <si>
    <t>MS</t>
  </si>
  <si>
    <t>ES</t>
  </si>
  <si>
    <t>TO</t>
  </si>
  <si>
    <t>MT</t>
  </si>
  <si>
    <t>PE</t>
  </si>
  <si>
    <t>BA</t>
  </si>
  <si>
    <t>RN</t>
  </si>
  <si>
    <t>PivotTable — Orders by State × Payment Type</t>
  </si>
  <si>
    <t>PivotTable (built by Excel COM post-save)</t>
  </si>
  <si>
    <t>Source: tbl_payments_long</t>
  </si>
  <si>
    <t>CE</t>
  </si>
  <si>
    <t>PA</t>
  </si>
  <si>
    <t>MA</t>
  </si>
  <si>
    <t>PB</t>
  </si>
  <si>
    <t>PI</t>
  </si>
  <si>
    <t>AL</t>
  </si>
  <si>
    <t>SE</t>
  </si>
  <si>
    <t>RO</t>
  </si>
  <si>
    <t>AM</t>
  </si>
  <si>
    <t>AC</t>
  </si>
  <si>
    <t>AP</t>
  </si>
  <si>
    <t>RR</t>
  </si>
  <si>
    <t>KPI Lookup</t>
  </si>
  <si>
    <t>0.00</t>
  </si>
  <si>
    <t>0.00%</t>
  </si>
  <si>
    <t>Champions ARPU (R$)</t>
  </si>
  <si>
    <t>At-Risk customers</t>
  </si>
  <si>
    <t>At-Risk ARPU (R$)</t>
  </si>
  <si>
    <t>Avg actual delivery (days)</t>
  </si>
  <si>
    <t>0.0</t>
  </si>
  <si>
    <t>Avg ETA (days)</t>
  </si>
  <si>
    <t>Repeat customers (count)</t>
  </si>
  <si>
    <t>Yearly KPIs</t>
  </si>
  <si>
    <t>Monthly Revenue</t>
  </si>
  <si>
    <t>RFM Segments</t>
  </si>
  <si>
    <t>Installments</t>
  </si>
  <si>
    <t>Bucket</t>
  </si>
  <si>
    <t>Avg Ticket (R$)</t>
  </si>
  <si>
    <t>Repeat Rate</t>
  </si>
  <si>
    <t>Total Revenue</t>
  </si>
  <si>
    <t>Repeat Customers</t>
  </si>
  <si>
    <t>Logistics by State</t>
  </si>
  <si>
    <t>Cohort Retention Matrix</t>
  </si>
  <si>
    <t>Order Status (raw aggregation)</t>
  </si>
  <si>
    <t>Payment Mix (raw aggregation)</t>
  </si>
  <si>
    <t>Derived Headlines (formulas)</t>
  </si>
  <si>
    <t>Formula result</t>
  </si>
  <si>
    <t>At-Risk count (from RFM)</t>
  </si>
  <si>
    <t>At-Risk ARPU (from RFM)</t>
  </si>
  <si>
    <t>7-10 inst AOV (from Installments)</t>
  </si>
  <si>
    <t>1-inst AOV (from Installments)</t>
  </si>
  <si>
    <t>Aggressive ROI revenue (R$)</t>
  </si>
  <si>
    <t>AOV ratio (7-10 / 1)</t>
  </si>
  <si>
    <t>列標籤</t>
  </si>
  <si>
    <t>總計</t>
  </si>
  <si>
    <t>欄標籤</t>
  </si>
  <si>
    <t>加總 -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</si>
</sst>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0.0&quot;×&quot;"/>
  </numFmts>
  <fonts count="22" x14ac:knownFonts="1">
    <font>
      <sz val="11"/>
      <color theme="1"/>
      <name val="新細明體"/>
      <family val="2"/>
      <scheme val="minor"/>
    </font>
    <font>
      <b/>
      <sz val="14"/>
      <color rgb="FF1F3A5F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26"/>
      <color rgb="FF1F3A5F"/>
      <name val="Calibri"/>
    </font>
    <font>
      <i/>
      <sz val="14"/>
      <color rgb="FF595959"/>
      <name val="Calibri"/>
    </font>
    <font>
      <b/>
      <sz val="11"/>
      <color rgb="FF1F3A5F"/>
      <name val="Calibri"/>
    </font>
    <font>
      <sz val="11"/>
      <color rgb="FF000000"/>
      <name val="Calibri"/>
    </font>
    <font>
      <b/>
      <sz val="13"/>
      <color rgb="FF1F3A5F"/>
      <name val="Calibri"/>
    </font>
    <font>
      <b/>
      <sz val="24"/>
      <color rgb="FFFFFFFF"/>
      <name val="Calibri"/>
    </font>
    <font>
      <sz val="9"/>
      <color rgb="FF000000"/>
      <name val="Calibri"/>
    </font>
    <font>
      <b/>
      <sz val="11"/>
      <color rgb="FF0563C1"/>
      <name val="Calibri"/>
    </font>
    <font>
      <b/>
      <sz val="11"/>
      <color rgb="FF000000"/>
      <name val="Calibri"/>
    </font>
    <font>
      <sz val="11"/>
      <color rgb="FF0563C1"/>
      <name val="Calibri"/>
    </font>
    <font>
      <b/>
      <sz val="18"/>
      <color rgb="FF1F3A5F"/>
      <name val="Calibri"/>
    </font>
    <font>
      <i/>
      <sz val="11"/>
      <color rgb="FF595959"/>
      <name val="Calibri"/>
    </font>
    <font>
      <b/>
      <sz val="10"/>
      <name val="Consolas"/>
    </font>
    <font>
      <sz val="9"/>
      <name val="Consolas"/>
    </font>
    <font>
      <b/>
      <sz val="12"/>
      <color rgb="FF000000"/>
      <name val="Calibri"/>
    </font>
    <font>
      <b/>
      <sz val="14"/>
      <color rgb="FFFFFFFF"/>
      <name val="Calibri"/>
    </font>
    <font>
      <i/>
      <sz val="11"/>
      <color rgb="FF000000"/>
      <name val="Calibri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2E8B8B"/>
      </patternFill>
    </fill>
    <fill>
      <patternFill patternType="solid">
        <fgColor rgb="FFE07B39"/>
      </patternFill>
    </fill>
    <fill>
      <patternFill patternType="solid">
        <fgColor rgb="FFFFE6CC"/>
      </patternFill>
    </fill>
    <fill>
      <patternFill patternType="solid">
        <fgColor rgb="FFF4D35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E07B39"/>
      </left>
      <right style="medium">
        <color rgb="FFE07B39"/>
      </right>
      <top style="medium">
        <color rgb="FFE07B39"/>
      </top>
      <bottom style="medium">
        <color rgb="FFE07B39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vertical="center" wrapText="1"/>
    </xf>
    <xf numFmtId="0" fontId="5" fillId="0" borderId="0" xfId="0" applyFont="1" applyAlignment="1">
      <alignment horizontal="centerContinuous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2" fillId="5" borderId="0" xfId="0" applyFont="1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Continuous" vertical="center" wrapText="1"/>
    </xf>
    <xf numFmtId="0" fontId="15" fillId="0" borderId="0" xfId="0" applyFont="1" applyAlignment="1">
      <alignment horizontal="centerContinuous" vertical="center" wrapText="1"/>
    </xf>
    <xf numFmtId="0" fontId="16" fillId="0" borderId="1" xfId="0" applyFont="1" applyBorder="1"/>
    <xf numFmtId="3" fontId="0" fillId="0" borderId="1" xfId="0" applyNumberFormat="1" applyBorder="1"/>
    <xf numFmtId="0" fontId="17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77" fontId="0" fillId="0" borderId="1" xfId="0" applyNumberFormat="1" applyBorder="1"/>
    <xf numFmtId="176" fontId="0" fillId="0" borderId="1" xfId="0" applyNumberFormat="1" applyBorder="1"/>
    <xf numFmtId="1" fontId="0" fillId="0" borderId="1" xfId="0" applyNumberFormat="1" applyBorder="1"/>
    <xf numFmtId="0" fontId="12" fillId="3" borderId="1" xfId="0" applyFont="1" applyFill="1" applyBorder="1"/>
    <xf numFmtId="177" fontId="10" fillId="0" borderId="1" xfId="0" applyNumberFormat="1" applyFont="1" applyBorder="1" applyAlignment="1">
      <alignment horizontal="center" vertical="center" wrapText="1"/>
    </xf>
    <xf numFmtId="3" fontId="18" fillId="7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18" fillId="7" borderId="2" xfId="0" applyNumberFormat="1" applyFont="1" applyFill="1" applyBorder="1" applyAlignment="1">
      <alignment horizontal="center" vertical="center" wrapText="1"/>
    </xf>
    <xf numFmtId="9" fontId="18" fillId="7" borderId="2" xfId="0" applyNumberFormat="1" applyFont="1" applyFill="1" applyBorder="1" applyAlignment="1">
      <alignment horizontal="center" vertical="center" wrapText="1"/>
    </xf>
    <xf numFmtId="9" fontId="12" fillId="3" borderId="1" xfId="0" applyNumberFormat="1" applyFont="1" applyFill="1" applyBorder="1" applyAlignment="1">
      <alignment horizontal="center" vertical="center" wrapText="1"/>
    </xf>
    <xf numFmtId="9" fontId="12" fillId="7" borderId="1" xfId="0" applyNumberFormat="1" applyFont="1" applyFill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/>
    <xf numFmtId="178" fontId="19" fillId="4" borderId="1" xfId="0" applyNumberFormat="1" applyFont="1" applyFill="1" applyBorder="1" applyAlignment="1">
      <alignment horizontal="center" vertical="center" wrapText="1"/>
    </xf>
    <xf numFmtId="0" fontId="20" fillId="0" borderId="0" xfId="0" applyFont="1"/>
    <xf numFmtId="10" fontId="0" fillId="0" borderId="1" xfId="0" applyNumberFormat="1" applyBorder="1"/>
    <xf numFmtId="0" fontId="1" fillId="0" borderId="0" xfId="0" applyFont="1"/>
    <xf numFmtId="3" fontId="0" fillId="0" borderId="0" xfId="0" applyNumberFormat="1"/>
    <xf numFmtId="0" fontId="3" fillId="0" borderId="0" xfId="0" applyFont="1"/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t>Monthly Revenue (R$) — peak Nov 2017 (Black Friday + Christmas)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'04_Revenue_Trend'!$C$5</c:f>
              <c:strCache>
                <c:ptCount val="1"/>
                <c:pt idx="0">
                  <c:v>Revenue (R$)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'04_Revenue_Trend'!$B$6:$B$25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'04_Revenue_Trend'!$C$6:$C$25</c:f>
              <c:numCache>
                <c:formatCode>#,##0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554699.69999999995</c:v>
                </c:pt>
                <c:pt idx="8">
                  <c:v>607399.67000000004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C-4D8C-A449-E2D8418D0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(R$)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t>Customer share vs Revenue share — Pareto: Champions+At-Risk = 39.7% / 66.9%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'05_RFM_Segments'!$D$5</c:f>
              <c:strCache>
                <c:ptCount val="1"/>
                <c:pt idx="0">
                  <c:v>Customer 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'05_RFM_Segments'!$B$6:$B$11</c:f>
              <c:strCache>
                <c:ptCount val="6"/>
                <c:pt idx="0">
                  <c:v>Champions</c:v>
                </c:pt>
                <c:pt idx="1">
                  <c:v>At Risk</c:v>
                </c:pt>
                <c:pt idx="2">
                  <c:v>Loyal Low-spend</c:v>
                </c:pt>
                <c:pt idx="3">
                  <c:v>Average</c:v>
                </c:pt>
                <c:pt idx="4">
                  <c:v>Potential New</c:v>
                </c:pt>
                <c:pt idx="5">
                  <c:v>Lost</c:v>
                </c:pt>
              </c:strCache>
            </c:strRef>
          </c:cat>
          <c:val>
            <c:numRef>
              <c:f>'05_RFM_Segments'!$D$6:$D$11</c:f>
              <c:numCache>
                <c:formatCode>0.0%</c:formatCode>
                <c:ptCount val="6"/>
                <c:pt idx="0">
                  <c:v>0.16200000000000001</c:v>
                </c:pt>
                <c:pt idx="1">
                  <c:v>0.23499999999999999</c:v>
                </c:pt>
                <c:pt idx="2">
                  <c:v>8.199999999999999E-2</c:v>
                </c:pt>
                <c:pt idx="3">
                  <c:v>0.2</c:v>
                </c:pt>
                <c:pt idx="4">
                  <c:v>0.156</c:v>
                </c:pt>
                <c:pt idx="5">
                  <c:v>0.16500000000000001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F-4A72-ABB0-D287FCCD68DE}"/>
            </c:ext>
          </c:extLst>
        </c:ser>
        <c:ser>
          <c:idx val="1"/>
          <c:order val="1"/>
          <c:tx>
            <c:strRef>
              <c:f>'05_RFM_Segments'!$F$5</c:f>
              <c:strCache>
                <c:ptCount val="1"/>
                <c:pt idx="0">
                  <c:v>Revenue 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'05_RFM_Segments'!$B$6:$B$11</c:f>
              <c:strCache>
                <c:ptCount val="6"/>
                <c:pt idx="0">
                  <c:v>Champions</c:v>
                </c:pt>
                <c:pt idx="1">
                  <c:v>At Risk</c:v>
                </c:pt>
                <c:pt idx="2">
                  <c:v>Loyal Low-spend</c:v>
                </c:pt>
                <c:pt idx="3">
                  <c:v>Average</c:v>
                </c:pt>
                <c:pt idx="4">
                  <c:v>Potential New</c:v>
                </c:pt>
                <c:pt idx="5">
                  <c:v>Lost</c:v>
                </c:pt>
              </c:strCache>
            </c:strRef>
          </c:cat>
          <c:val>
            <c:numRef>
              <c:f>'05_RFM_Segments'!$F$6:$F$11</c:f>
              <c:numCache>
                <c:formatCode>0.0%</c:formatCode>
                <c:ptCount val="6"/>
                <c:pt idx="0">
                  <c:v>0.314</c:v>
                </c:pt>
                <c:pt idx="1">
                  <c:v>0.35499999999999998</c:v>
                </c:pt>
                <c:pt idx="2">
                  <c:v>5.0999999999999997E-2</c:v>
                </c:pt>
                <c:pt idx="3">
                  <c:v>0.19</c:v>
                </c:pt>
                <c:pt idx="4">
                  <c:v>4.3999999999999997E-2</c:v>
                </c:pt>
                <c:pt idx="5">
                  <c:v>4.7E-2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0F-4A72-ABB0-D287FCCD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Share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Segment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t>Avg ticket (R$) by installment bucket — 7-10 installments = 3.48× single-payment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'08_Installments'!$D$5</c:f>
              <c:strCache>
                <c:ptCount val="1"/>
                <c:pt idx="0">
                  <c:v>Avg ticket (R$)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'08_Installments'!$B$6:$B$10</c:f>
              <c:strCache>
                <c:ptCount val="5"/>
                <c:pt idx="0">
                  <c:v>1 (single)</c:v>
                </c:pt>
                <c:pt idx="1">
                  <c:v>2-3 installments</c:v>
                </c:pt>
                <c:pt idx="2">
                  <c:v>4-6 installments</c:v>
                </c:pt>
                <c:pt idx="3">
                  <c:v>7-10 installments</c:v>
                </c:pt>
                <c:pt idx="4">
                  <c:v>11+ installments</c:v>
                </c:pt>
              </c:strCache>
            </c:strRef>
          </c:cat>
          <c:val>
            <c:numRef>
              <c:f>'08_Installments'!$D$6:$D$10</c:f>
              <c:numCache>
                <c:formatCode>0</c:formatCode>
                <c:ptCount val="5"/>
                <c:pt idx="0">
                  <c:v>95.870005892751919</c:v>
                </c:pt>
                <c:pt idx="1">
                  <c:v>134.22999912564484</c:v>
                </c:pt>
                <c:pt idx="2">
                  <c:v>181.31998523712863</c:v>
                </c:pt>
                <c:pt idx="3">
                  <c:v>333.83001854036746</c:v>
                </c:pt>
                <c:pt idx="4">
                  <c:v>358.34017595307915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6-476A-85BC-86394AA43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Installments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Avg ticket (R$)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t>Repeat rate by installment bucket — 7+ installment customers retain 65% better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'08_Installments'!$F$5</c:f>
              <c:strCache>
                <c:ptCount val="1"/>
                <c:pt idx="0">
                  <c:v>Repeat rate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'08_Installments'!$B$6:$B$10</c:f>
              <c:strCache>
                <c:ptCount val="5"/>
                <c:pt idx="0">
                  <c:v>1 (single)</c:v>
                </c:pt>
                <c:pt idx="1">
                  <c:v>2-3 installments</c:v>
                </c:pt>
                <c:pt idx="2">
                  <c:v>4-6 installments</c:v>
                </c:pt>
                <c:pt idx="3">
                  <c:v>7-10 installments</c:v>
                </c:pt>
                <c:pt idx="4">
                  <c:v>11+ installments</c:v>
                </c:pt>
              </c:strCache>
            </c:strRef>
          </c:cat>
          <c:val>
            <c:numRef>
              <c:f>'08_Installments'!$F$6:$F$10</c:f>
              <c:numCache>
                <c:formatCode>0.00%</c:formatCode>
                <c:ptCount val="5"/>
                <c:pt idx="0">
                  <c:v>2.5113869040157118E-2</c:v>
                </c:pt>
                <c:pt idx="1">
                  <c:v>2.809041019440052E-2</c:v>
                </c:pt>
                <c:pt idx="2">
                  <c:v>3.1832861003097609E-2</c:v>
                </c:pt>
                <c:pt idx="3">
                  <c:v>4.130950209739194E-2</c:v>
                </c:pt>
                <c:pt idx="4">
                  <c:v>4.1800643086816719E-2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7-4333-9F81-35313AE42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Installments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Repeat rate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t>Actual vs Estimated delivery days — SP best (8.8d), RN worst (19.3d)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'09_Logistics'!$C$5</c:f>
              <c:strCache>
                <c:ptCount val="1"/>
                <c:pt idx="0">
                  <c:v>Actual days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'09_Logistics'!$B$6:$B$20</c:f>
              <c:strCache>
                <c:ptCount val="15"/>
                <c:pt idx="0">
                  <c:v>SP</c:v>
                </c:pt>
                <c:pt idx="1">
                  <c:v>MG</c:v>
                </c:pt>
                <c:pt idx="2">
                  <c:v>PR</c:v>
                </c:pt>
                <c:pt idx="3">
                  <c:v>DF</c:v>
                </c:pt>
                <c:pt idx="4">
                  <c:v>SC</c:v>
                </c:pt>
                <c:pt idx="5">
                  <c:v>RJ</c:v>
                </c:pt>
                <c:pt idx="6">
                  <c:v>RS</c:v>
                </c:pt>
                <c:pt idx="7">
                  <c:v>GO</c:v>
                </c:pt>
                <c:pt idx="8">
                  <c:v>MS</c:v>
                </c:pt>
                <c:pt idx="9">
                  <c:v>ES</c:v>
                </c:pt>
                <c:pt idx="10">
                  <c:v>TO</c:v>
                </c:pt>
                <c:pt idx="11">
                  <c:v>MT</c:v>
                </c:pt>
                <c:pt idx="12">
                  <c:v>PE</c:v>
                </c:pt>
                <c:pt idx="13">
                  <c:v>BA</c:v>
                </c:pt>
                <c:pt idx="14">
                  <c:v>RN</c:v>
                </c:pt>
              </c:strCache>
            </c:strRef>
          </c:cat>
          <c:val>
            <c:numRef>
              <c:f>'09_Logistics'!$C$6:$C$20</c:f>
              <c:numCache>
                <c:formatCode>0.0</c:formatCode>
                <c:ptCount val="15"/>
                <c:pt idx="0">
                  <c:v>8.8000000000000007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15</c:v>
                </c:pt>
                <c:pt idx="5">
                  <c:v>15.3</c:v>
                </c:pt>
                <c:pt idx="6">
                  <c:v>15.3</c:v>
                </c:pt>
                <c:pt idx="7">
                  <c:v>15.6</c:v>
                </c:pt>
                <c:pt idx="8">
                  <c:v>15.6</c:v>
                </c:pt>
                <c:pt idx="9">
                  <c:v>15.8</c:v>
                </c:pt>
                <c:pt idx="10">
                  <c:v>17.7</c:v>
                </c:pt>
                <c:pt idx="11">
                  <c:v>18.100000000000001</c:v>
                </c:pt>
                <c:pt idx="12">
                  <c:v>18.399999999999999</c:v>
                </c:pt>
                <c:pt idx="13">
                  <c:v>19.3</c:v>
                </c:pt>
                <c:pt idx="14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4-495B-81CC-890DA9F2D14F}"/>
            </c:ext>
          </c:extLst>
        </c:ser>
        <c:ser>
          <c:idx val="1"/>
          <c:order val="1"/>
          <c:tx>
            <c:strRef>
              <c:f>'09_Logistics'!$D$5</c:f>
              <c:strCache>
                <c:ptCount val="1"/>
                <c:pt idx="0">
                  <c:v>Estimated days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'09_Logistics'!$B$6:$B$20</c:f>
              <c:strCache>
                <c:ptCount val="15"/>
                <c:pt idx="0">
                  <c:v>SP</c:v>
                </c:pt>
                <c:pt idx="1">
                  <c:v>MG</c:v>
                </c:pt>
                <c:pt idx="2">
                  <c:v>PR</c:v>
                </c:pt>
                <c:pt idx="3">
                  <c:v>DF</c:v>
                </c:pt>
                <c:pt idx="4">
                  <c:v>SC</c:v>
                </c:pt>
                <c:pt idx="5">
                  <c:v>RJ</c:v>
                </c:pt>
                <c:pt idx="6">
                  <c:v>RS</c:v>
                </c:pt>
                <c:pt idx="7">
                  <c:v>GO</c:v>
                </c:pt>
                <c:pt idx="8">
                  <c:v>MS</c:v>
                </c:pt>
                <c:pt idx="9">
                  <c:v>ES</c:v>
                </c:pt>
                <c:pt idx="10">
                  <c:v>TO</c:v>
                </c:pt>
                <c:pt idx="11">
                  <c:v>MT</c:v>
                </c:pt>
                <c:pt idx="12">
                  <c:v>PE</c:v>
                </c:pt>
                <c:pt idx="13">
                  <c:v>BA</c:v>
                </c:pt>
                <c:pt idx="14">
                  <c:v>RN</c:v>
                </c:pt>
              </c:strCache>
            </c:strRef>
          </c:cat>
          <c:val>
            <c:numRef>
              <c:f>'09_Logistics'!$D$6:$D$20</c:f>
              <c:numCache>
                <c:formatCode>0.0</c:formatCode>
                <c:ptCount val="15"/>
                <c:pt idx="0">
                  <c:v>19.100000000000001</c:v>
                </c:pt>
                <c:pt idx="1">
                  <c:v>24.5</c:v>
                </c:pt>
                <c:pt idx="2">
                  <c:v>24.6</c:v>
                </c:pt>
                <c:pt idx="3">
                  <c:v>24.3</c:v>
                </c:pt>
                <c:pt idx="4">
                  <c:v>25.8</c:v>
                </c:pt>
                <c:pt idx="5">
                  <c:v>26.4</c:v>
                </c:pt>
                <c:pt idx="6">
                  <c:v>28.5</c:v>
                </c:pt>
                <c:pt idx="7">
                  <c:v>27.1</c:v>
                </c:pt>
                <c:pt idx="8">
                  <c:v>26</c:v>
                </c:pt>
                <c:pt idx="9">
                  <c:v>25.6</c:v>
                </c:pt>
                <c:pt idx="10">
                  <c:v>29.1</c:v>
                </c:pt>
                <c:pt idx="11">
                  <c:v>31.7</c:v>
                </c:pt>
                <c:pt idx="12">
                  <c:v>31.1</c:v>
                </c:pt>
                <c:pt idx="13">
                  <c:v>29.4</c:v>
                </c:pt>
                <c:pt idx="14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4-495B-81CC-890DA9F2D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31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50.234868981483" createdVersion="8" refreshedVersion="8" minRefreshableVersion="3" recordCount="105" xr:uid="{F3F68A9A-2E56-430B-B31F-EEDDE62E7517}">
  <cacheSource type="worksheet">
    <worksheetSource name="tbl_payments_long"/>
  </cacheSource>
  <cacheFields count="3">
    <cacheField name="State" numFmtId="0">
      <sharedItems count="27">
        <s v="SP"/>
        <s v="RJ"/>
        <s v="MG"/>
        <s v="RS"/>
        <s v="PR"/>
        <s v="SC"/>
        <s v="BA"/>
        <s v="DF"/>
        <s v="ES"/>
        <s v="GO"/>
        <s v="PE"/>
        <s v="CE"/>
        <s v="PA"/>
        <s v="MT"/>
        <s v="MA"/>
        <s v="MS"/>
        <s v="PB"/>
        <s v="PI"/>
        <s v="RN"/>
        <s v="AL"/>
        <s v="SE"/>
        <s v="TO"/>
        <s v="RO"/>
        <s v="AM"/>
        <s v="AC"/>
        <s v="AP"/>
        <s v="RR"/>
      </sharedItems>
    </cacheField>
    <cacheField name="Payment type" numFmtId="0">
      <sharedItems count="4">
        <s v="credit_card"/>
        <s v="boleto"/>
        <s v="voucher"/>
        <s v="debit_card"/>
      </sharedItems>
    </cacheField>
    <cacheField name="Orders" numFmtId="3">
      <sharedItems containsSemiMixedTypes="0" containsString="0" containsNumber="1" containsInteger="1" minValue="2" maxValue="320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n v="32074"/>
  </r>
  <r>
    <x v="0"/>
    <x v="1"/>
    <n v="8205"/>
  </r>
  <r>
    <x v="0"/>
    <x v="2"/>
    <n v="1596"/>
  </r>
  <r>
    <x v="0"/>
    <x v="3"/>
    <n v="759"/>
  </r>
  <r>
    <x v="1"/>
    <x v="0"/>
    <n v="10253"/>
  </r>
  <r>
    <x v="1"/>
    <x v="1"/>
    <n v="2163"/>
  </r>
  <r>
    <x v="1"/>
    <x v="2"/>
    <n v="547"/>
  </r>
  <r>
    <x v="1"/>
    <x v="3"/>
    <n v="185"/>
  </r>
  <r>
    <x v="2"/>
    <x v="0"/>
    <n v="9030"/>
  </r>
  <r>
    <x v="2"/>
    <x v="1"/>
    <n v="2304"/>
  </r>
  <r>
    <x v="2"/>
    <x v="2"/>
    <n v="438"/>
  </r>
  <r>
    <x v="2"/>
    <x v="3"/>
    <n v="139"/>
  </r>
  <r>
    <x v="3"/>
    <x v="0"/>
    <n v="3967"/>
  </r>
  <r>
    <x v="3"/>
    <x v="1"/>
    <n v="1359"/>
  </r>
  <r>
    <x v="3"/>
    <x v="2"/>
    <n v="179"/>
  </r>
  <r>
    <x v="3"/>
    <x v="3"/>
    <n v="76"/>
  </r>
  <r>
    <x v="4"/>
    <x v="0"/>
    <n v="3776"/>
  </r>
  <r>
    <x v="4"/>
    <x v="1"/>
    <n v="1118"/>
  </r>
  <r>
    <x v="4"/>
    <x v="2"/>
    <n v="199"/>
  </r>
  <r>
    <x v="4"/>
    <x v="3"/>
    <n v="74"/>
  </r>
  <r>
    <x v="5"/>
    <x v="0"/>
    <n v="2705"/>
  </r>
  <r>
    <x v="5"/>
    <x v="1"/>
    <n v="840"/>
  </r>
  <r>
    <x v="5"/>
    <x v="2"/>
    <n v="127"/>
  </r>
  <r>
    <x v="5"/>
    <x v="3"/>
    <n v="46"/>
  </r>
  <r>
    <x v="6"/>
    <x v="0"/>
    <n v="2643"/>
  </r>
  <r>
    <x v="6"/>
    <x v="1"/>
    <n v="614"/>
  </r>
  <r>
    <x v="6"/>
    <x v="2"/>
    <n v="176"/>
  </r>
  <r>
    <x v="6"/>
    <x v="3"/>
    <n v="53"/>
  </r>
  <r>
    <x v="7"/>
    <x v="0"/>
    <n v="1695"/>
  </r>
  <r>
    <x v="7"/>
    <x v="1"/>
    <n v="396"/>
  </r>
  <r>
    <x v="7"/>
    <x v="2"/>
    <n v="79"/>
  </r>
  <r>
    <x v="7"/>
    <x v="3"/>
    <n v="17"/>
  </r>
  <r>
    <x v="8"/>
    <x v="0"/>
    <n v="1568"/>
  </r>
  <r>
    <x v="8"/>
    <x v="1"/>
    <n v="403"/>
  </r>
  <r>
    <x v="8"/>
    <x v="2"/>
    <n v="82"/>
  </r>
  <r>
    <x v="8"/>
    <x v="3"/>
    <n v="27"/>
  </r>
  <r>
    <x v="9"/>
    <x v="0"/>
    <n v="1514"/>
  </r>
  <r>
    <x v="9"/>
    <x v="1"/>
    <n v="449"/>
  </r>
  <r>
    <x v="9"/>
    <x v="2"/>
    <n v="76"/>
  </r>
  <r>
    <x v="9"/>
    <x v="3"/>
    <n v="22"/>
  </r>
  <r>
    <x v="10"/>
    <x v="0"/>
    <n v="1326"/>
  </r>
  <r>
    <x v="10"/>
    <x v="1"/>
    <n v="277"/>
  </r>
  <r>
    <x v="10"/>
    <x v="2"/>
    <n v="73"/>
  </r>
  <r>
    <x v="10"/>
    <x v="3"/>
    <n v="19"/>
  </r>
  <r>
    <x v="11"/>
    <x v="0"/>
    <n v="1083"/>
  </r>
  <r>
    <x v="11"/>
    <x v="1"/>
    <n v="205"/>
  </r>
  <r>
    <x v="11"/>
    <x v="2"/>
    <n v="59"/>
  </r>
  <r>
    <x v="11"/>
    <x v="3"/>
    <n v="20"/>
  </r>
  <r>
    <x v="12"/>
    <x v="0"/>
    <n v="724"/>
  </r>
  <r>
    <x v="12"/>
    <x v="1"/>
    <n v="215"/>
  </r>
  <r>
    <x v="12"/>
    <x v="2"/>
    <n v="41"/>
  </r>
  <r>
    <x v="12"/>
    <x v="3"/>
    <n v="16"/>
  </r>
  <r>
    <x v="13"/>
    <x v="0"/>
    <n v="657"/>
  </r>
  <r>
    <x v="13"/>
    <x v="1"/>
    <n v="238"/>
  </r>
  <r>
    <x v="13"/>
    <x v="2"/>
    <n v="25"/>
  </r>
  <r>
    <x v="13"/>
    <x v="3"/>
    <n v="6"/>
  </r>
  <r>
    <x v="14"/>
    <x v="0"/>
    <n v="534"/>
  </r>
  <r>
    <x v="14"/>
    <x v="1"/>
    <n v="203"/>
  </r>
  <r>
    <x v="14"/>
    <x v="2"/>
    <n v="19"/>
  </r>
  <r>
    <x v="14"/>
    <x v="3"/>
    <n v="4"/>
  </r>
  <r>
    <x v="15"/>
    <x v="0"/>
    <n v="516"/>
  </r>
  <r>
    <x v="15"/>
    <x v="1"/>
    <n v="175"/>
  </r>
  <r>
    <x v="15"/>
    <x v="2"/>
    <n v="24"/>
  </r>
  <r>
    <x v="15"/>
    <x v="3"/>
    <n v="11"/>
  </r>
  <r>
    <x v="16"/>
    <x v="0"/>
    <n v="421"/>
  </r>
  <r>
    <x v="16"/>
    <x v="1"/>
    <n v="93"/>
  </r>
  <r>
    <x v="16"/>
    <x v="2"/>
    <n v="23"/>
  </r>
  <r>
    <x v="16"/>
    <x v="3"/>
    <n v="13"/>
  </r>
  <r>
    <x v="17"/>
    <x v="0"/>
    <n v="383"/>
  </r>
  <r>
    <x v="17"/>
    <x v="1"/>
    <n v="94"/>
  </r>
  <r>
    <x v="17"/>
    <x v="2"/>
    <n v="27"/>
  </r>
  <r>
    <x v="17"/>
    <x v="3"/>
    <n v="11"/>
  </r>
  <r>
    <x v="18"/>
    <x v="0"/>
    <n v="390"/>
  </r>
  <r>
    <x v="18"/>
    <x v="1"/>
    <n v="80"/>
  </r>
  <r>
    <x v="18"/>
    <x v="2"/>
    <n v="21"/>
  </r>
  <r>
    <x v="18"/>
    <x v="3"/>
    <n v="9"/>
  </r>
  <r>
    <x v="19"/>
    <x v="0"/>
    <n v="338"/>
  </r>
  <r>
    <x v="19"/>
    <x v="1"/>
    <n v="68"/>
  </r>
  <r>
    <x v="19"/>
    <x v="2"/>
    <n v="10"/>
  </r>
  <r>
    <x v="19"/>
    <x v="3"/>
    <n v="5"/>
  </r>
  <r>
    <x v="20"/>
    <x v="0"/>
    <n v="263"/>
  </r>
  <r>
    <x v="20"/>
    <x v="1"/>
    <n v="75"/>
  </r>
  <r>
    <x v="20"/>
    <x v="2"/>
    <n v="15"/>
  </r>
  <r>
    <x v="20"/>
    <x v="3"/>
    <n v="5"/>
  </r>
  <r>
    <x v="21"/>
    <x v="0"/>
    <n v="196"/>
  </r>
  <r>
    <x v="21"/>
    <x v="1"/>
    <n v="76"/>
  </r>
  <r>
    <x v="21"/>
    <x v="2"/>
    <n v="12"/>
  </r>
  <r>
    <x v="21"/>
    <x v="3"/>
    <n v="4"/>
  </r>
  <r>
    <x v="22"/>
    <x v="0"/>
    <n v="184"/>
  </r>
  <r>
    <x v="22"/>
    <x v="1"/>
    <n v="64"/>
  </r>
  <r>
    <x v="22"/>
    <x v="2"/>
    <n v="7"/>
  </r>
  <r>
    <x v="22"/>
    <x v="3"/>
    <n v="3"/>
  </r>
  <r>
    <x v="23"/>
    <x v="0"/>
    <n v="124"/>
  </r>
  <r>
    <x v="23"/>
    <x v="1"/>
    <n v="21"/>
  </r>
  <r>
    <x v="23"/>
    <x v="2"/>
    <n v="4"/>
  </r>
  <r>
    <x v="23"/>
    <x v="3"/>
    <n v="2"/>
  </r>
  <r>
    <x v="24"/>
    <x v="0"/>
    <n v="61"/>
  </r>
  <r>
    <x v="24"/>
    <x v="1"/>
    <n v="16"/>
  </r>
  <r>
    <x v="24"/>
    <x v="2"/>
    <n v="4"/>
  </r>
  <r>
    <x v="24"/>
    <x v="3"/>
    <n v="2"/>
  </r>
  <r>
    <x v="25"/>
    <x v="0"/>
    <n v="47"/>
  </r>
  <r>
    <x v="25"/>
    <x v="1"/>
    <n v="20"/>
  </r>
  <r>
    <x v="25"/>
    <x v="2"/>
    <n v="3"/>
  </r>
  <r>
    <x v="26"/>
    <x v="0"/>
    <n v="33"/>
  </r>
  <r>
    <x v="26"/>
    <x v="1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26418-DDE5-4A95-9655-DE28A4BBDD5D}" name="pt_state_paymen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5:G34" firstHeaderRow="1" firstDataRow="2" firstDataCol="1"/>
  <pivotFields count="3">
    <pivotField axis="axisRow" showAll="0">
      <items count="28">
        <item x="24"/>
        <item x="19"/>
        <item x="23"/>
        <item x="25"/>
        <item x="6"/>
        <item x="11"/>
        <item x="7"/>
        <item x="8"/>
        <item x="9"/>
        <item x="14"/>
        <item x="2"/>
        <item x="15"/>
        <item x="13"/>
        <item x="12"/>
        <item x="16"/>
        <item x="10"/>
        <item x="17"/>
        <item x="4"/>
        <item x="1"/>
        <item x="18"/>
        <item x="22"/>
        <item x="26"/>
        <item x="3"/>
        <item x="5"/>
        <item x="20"/>
        <item x="0"/>
        <item x="21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dataField="1" numFmtId="3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加總 - Orders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chema" displayName="tbl_schema" ref="B6:D15">
  <autoFilter ref="B6:D15" xr:uid="{00000000-0009-0000-0100-000001000000}"/>
  <tableColumns count="3">
    <tableColumn id="2" xr3:uid="{00000000-0010-0000-0000-000002000000}" name="Table"/>
    <tableColumn id="3" xr3:uid="{00000000-0010-0000-0000-000003000000}" name="Rows"/>
    <tableColumn id="4" xr3:uid="{00000000-0010-0000-0000-000004000000}" name="What's in 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ample_orders" displayName="tbl_sample_orders" ref="B19:I22">
  <autoFilter ref="B19:I22" xr:uid="{00000000-0009-0000-0100-000002000000}"/>
  <tableColumns count="8">
    <tableColumn id="2" xr3:uid="{00000000-0010-0000-0100-000002000000}" name="order_id"/>
    <tableColumn id="3" xr3:uid="{00000000-0010-0000-0100-000003000000}" name="customer_id"/>
    <tableColumn id="4" xr3:uid="{00000000-0010-0000-0100-000004000000}" name="order_status"/>
    <tableColumn id="5" xr3:uid="{00000000-0010-0000-0100-000005000000}" name="order_purchase_timestamp"/>
    <tableColumn id="6" xr3:uid="{00000000-0010-0000-0100-000006000000}" name="order_approved_at"/>
    <tableColumn id="7" xr3:uid="{00000000-0010-0000-0100-000007000000}" name="order_delivered_carrier_date"/>
    <tableColumn id="8" xr3:uid="{00000000-0010-0000-0100-000008000000}" name="order_delivered_customer_date"/>
    <tableColumn id="9" xr3:uid="{00000000-0010-0000-0100-000009000000}" name="order_estimated_delivery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ample_customers" displayName="tbl_sample_customers" ref="B25:F28">
  <autoFilter ref="B25:F28" xr:uid="{00000000-0009-0000-0100-000003000000}"/>
  <tableColumns count="5">
    <tableColumn id="2" xr3:uid="{00000000-0010-0000-0200-000002000000}" name="customer_id"/>
    <tableColumn id="3" xr3:uid="{00000000-0010-0000-0200-000003000000}" name="customer_unique_id"/>
    <tableColumn id="4" xr3:uid="{00000000-0010-0000-0200-000004000000}" name="customer_zip_code_prefix"/>
    <tableColumn id="5" xr3:uid="{00000000-0010-0000-0200-000005000000}" name="customer_city"/>
    <tableColumn id="6" xr3:uid="{00000000-0010-0000-0200-000006000000}" name="customer_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ample_items" displayName="tbl_sample_items" ref="B31:H34">
  <autoFilter ref="B31:H34" xr:uid="{00000000-0009-0000-0100-000004000000}"/>
  <tableColumns count="7">
    <tableColumn id="2" xr3:uid="{00000000-0010-0000-0300-000002000000}" name="order_id"/>
    <tableColumn id="3" xr3:uid="{00000000-0010-0000-0300-000003000000}" name="order_item_id"/>
    <tableColumn id="4" xr3:uid="{00000000-0010-0000-0300-000004000000}" name="product_id"/>
    <tableColumn id="5" xr3:uid="{00000000-0010-0000-0300-000005000000}" name="seller_id"/>
    <tableColumn id="6" xr3:uid="{00000000-0010-0000-0300-000006000000}" name="shipping_limit_date"/>
    <tableColumn id="7" xr3:uid="{00000000-0010-0000-0300-000007000000}" name="price"/>
    <tableColumn id="8" xr3:uid="{00000000-0010-0000-0300-000008000000}" name="freight_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ample_payments" displayName="tbl_sample_payments" ref="B37:F40">
  <autoFilter ref="B37:F40" xr:uid="{00000000-0009-0000-0100-000005000000}"/>
  <tableColumns count="5">
    <tableColumn id="2" xr3:uid="{00000000-0010-0000-0400-000002000000}" name="order_id"/>
    <tableColumn id="3" xr3:uid="{00000000-0010-0000-0400-000003000000}" name="payment_sequential"/>
    <tableColumn id="4" xr3:uid="{00000000-0010-0000-0400-000004000000}" name="payment_type"/>
    <tableColumn id="5" xr3:uid="{00000000-0010-0000-0400-000005000000}" name="payment_installments"/>
    <tableColumn id="6" xr3:uid="{00000000-0010-0000-0400-000006000000}" name="payment_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ample_reviews" displayName="tbl_sample_reviews" ref="B43:H46">
  <autoFilter ref="B43:H46" xr:uid="{00000000-0009-0000-0100-000006000000}"/>
  <tableColumns count="7">
    <tableColumn id="2" xr3:uid="{00000000-0010-0000-0500-000002000000}" name="review_id"/>
    <tableColumn id="3" xr3:uid="{00000000-0010-0000-0500-000003000000}" name="order_id"/>
    <tableColumn id="4" xr3:uid="{00000000-0010-0000-0500-000004000000}" name="review_score"/>
    <tableColumn id="5" xr3:uid="{00000000-0010-0000-0500-000005000000}" name="review_comment_title"/>
    <tableColumn id="6" xr3:uid="{00000000-0010-0000-0500-000006000000}" name="review_comment_message"/>
    <tableColumn id="7" xr3:uid="{00000000-0010-0000-0500-000007000000}" name="review_creation_date"/>
    <tableColumn id="8" xr3:uid="{00000000-0010-0000-0500-000008000000}" name="review_answer_timestam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status" displayName="tbl_status" ref="B26:D31">
  <autoFilter ref="B26:D31" xr:uid="{00000000-0009-0000-0100-000007000000}"/>
  <tableColumns count="3">
    <tableColumn id="2" xr3:uid="{00000000-0010-0000-0600-000002000000}" name="Status"/>
    <tableColumn id="3" xr3:uid="{00000000-0010-0000-0600-000003000000}" name="Orders"/>
    <tableColumn id="4" xr3:uid="{00000000-0010-0000-0600-000004000000}" name="Sh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ayment" displayName="tbl_payment" ref="B35:E39">
  <autoFilter ref="B35:E39" xr:uid="{00000000-0009-0000-0100-000008000000}"/>
  <tableColumns count="4">
    <tableColumn id="2" xr3:uid="{00000000-0010-0000-0700-000002000000}" name="Payment type"/>
    <tableColumn id="3" xr3:uid="{00000000-0010-0000-0700-000003000000}" name="Orders"/>
    <tableColumn id="4" xr3:uid="{00000000-0010-0000-0700-000004000000}" name="Share"/>
    <tableColumn id="5" xr3:uid="{00000000-0010-0000-0700-000005000000}" name="Avg install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revenue_view" displayName="tbl_revenue_view" ref="B5:C25">
  <autoFilter ref="B5:C25" xr:uid="{00000000-0009-0000-0100-000009000000}"/>
  <tableColumns count="2">
    <tableColumn id="2" xr3:uid="{00000000-0010-0000-0800-000002000000}" name="Month"/>
    <tableColumn id="3" xr3:uid="{00000000-0010-0000-0800-000003000000}" name="Revenue (R$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rfm_view" displayName="tbl_rfm_view" ref="B5:I11">
  <autoFilter ref="B5:I11" xr:uid="{00000000-0009-0000-0100-00000A000000}"/>
  <tableColumns count="8">
    <tableColumn id="2" xr3:uid="{00000000-0010-0000-0900-000002000000}" name="Segment"/>
    <tableColumn id="3" xr3:uid="{00000000-0010-0000-0900-000003000000}" name="Customers"/>
    <tableColumn id="4" xr3:uid="{00000000-0010-0000-0900-000004000000}" name="Customer %"/>
    <tableColumn id="5" xr3:uid="{00000000-0010-0000-0900-000005000000}" name="Revenue (R$)"/>
    <tableColumn id="6" xr3:uid="{00000000-0010-0000-0900-000006000000}" name="Revenue %"/>
    <tableColumn id="7" xr3:uid="{00000000-0010-0000-0900-000007000000}" name="ARPU (R$)"/>
    <tableColumn id="8" xr3:uid="{00000000-0010-0000-0900-000008000000}" name="Avg Recency (d)"/>
    <tableColumn id="9" xr3:uid="{00000000-0010-0000-0900-000009000000}" name="Persona / Ac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cohort_view" displayName="tbl_cohort_view" ref="B5:O25">
  <autoFilter ref="B5:O25" xr:uid="{00000000-0009-0000-0100-00000B000000}"/>
  <tableColumns count="14">
    <tableColumn id="2" xr3:uid="{00000000-0010-0000-0A00-000002000000}" name="Cohort"/>
    <tableColumn id="3" xr3:uid="{00000000-0010-0000-0A00-000003000000}" name="M0"/>
    <tableColumn id="4" xr3:uid="{00000000-0010-0000-0A00-000004000000}" name="M1"/>
    <tableColumn id="5" xr3:uid="{00000000-0010-0000-0A00-000005000000}" name="M2"/>
    <tableColumn id="6" xr3:uid="{00000000-0010-0000-0A00-000006000000}" name="M3"/>
    <tableColumn id="7" xr3:uid="{00000000-0010-0000-0A00-000007000000}" name="M4"/>
    <tableColumn id="8" xr3:uid="{00000000-0010-0000-0A00-000008000000}" name="M5"/>
    <tableColumn id="9" xr3:uid="{00000000-0010-0000-0A00-000009000000}" name="M6"/>
    <tableColumn id="10" xr3:uid="{00000000-0010-0000-0A00-00000A000000}" name="M7"/>
    <tableColumn id="11" xr3:uid="{00000000-0010-0000-0A00-00000B000000}" name="M8"/>
    <tableColumn id="12" xr3:uid="{00000000-0010-0000-0A00-00000C000000}" name="M9"/>
    <tableColumn id="13" xr3:uid="{00000000-0010-0000-0A00-00000D000000}" name="M10"/>
    <tableColumn id="14" xr3:uid="{00000000-0010-0000-0A00-00000E000000}" name="M11"/>
    <tableColumn id="15" xr3:uid="{00000000-0010-0000-0A00-00000F000000}" name="M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inst_view" displayName="tbl_inst_view" ref="B5:F10">
  <autoFilter ref="B5:F10" xr:uid="{00000000-0009-0000-0100-00000C000000}"/>
  <tableColumns count="5">
    <tableColumn id="2" xr3:uid="{00000000-0010-0000-0B00-000002000000}" name="Installment bucket"/>
    <tableColumn id="3" xr3:uid="{00000000-0010-0000-0B00-000003000000}" name="Orders"/>
    <tableColumn id="4" xr3:uid="{00000000-0010-0000-0B00-000004000000}" name="Avg ticket (R$)"/>
    <tableColumn id="5" xr3:uid="{00000000-0010-0000-0B00-000005000000}" name="Customers"/>
    <tableColumn id="6" xr3:uid="{00000000-0010-0000-0B00-000006000000}" name="Repeat r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logistics_view" displayName="tbl_logistics_view" ref="B5:E20">
  <autoFilter ref="B5:E20" xr:uid="{00000000-0009-0000-0100-00000D000000}"/>
  <tableColumns count="4">
    <tableColumn id="2" xr3:uid="{00000000-0010-0000-0C00-000002000000}" name="State"/>
    <tableColumn id="3" xr3:uid="{00000000-0010-0000-0C00-000003000000}" name="Actual days"/>
    <tableColumn id="4" xr3:uid="{00000000-0010-0000-0C00-000004000000}" name="Estimated days"/>
    <tableColumn id="5" xr3:uid="{00000000-0010-0000-0C00-000005000000}" name="ETA gap (days)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payments_long" displayName="tbl_payments_long" ref="I5:K110">
  <autoFilter ref="I5:K110" xr:uid="{00000000-0009-0000-0100-00000E000000}"/>
  <tableColumns count="3">
    <tableColumn id="9" xr3:uid="{00000000-0010-0000-0D00-000009000000}" name="State"/>
    <tableColumn id="10" xr3:uid="{00000000-0010-0000-0D00-00000A000000}" name="Payment type"/>
    <tableColumn id="11" xr3:uid="{00000000-0010-0000-0D00-00000B000000}" name="Order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kpi_lookup" displayName="tbl_kpi_lookup" ref="A2:C18">
  <autoFilter ref="A2:C18" xr:uid="{00000000-0009-0000-0100-00000F000000}"/>
  <tableColumns count="3">
    <tableColumn id="1" xr3:uid="{00000000-0010-0000-0E00-000001000000}" name="Metric"/>
    <tableColumn id="2" xr3:uid="{00000000-0010-0000-0E00-000002000000}" name="Value"/>
    <tableColumn id="3" xr3:uid="{00000000-0010-0000-0E00-000003000000}" name="Forma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yearly" displayName="tbl_yearly" ref="A22:E25">
  <autoFilter ref="A22:E25" xr:uid="{00000000-0009-0000-0100-000010000000}"/>
  <tableColumns count="5">
    <tableColumn id="1" xr3:uid="{00000000-0010-0000-0F00-000001000000}" name="Year"/>
    <tableColumn id="2" xr3:uid="{00000000-0010-0000-0F00-000002000000}" name="GMV (R$ M)"/>
    <tableColumn id="3" xr3:uid="{00000000-0010-0000-0F00-000003000000}" name="Orders"/>
    <tableColumn id="4" xr3:uid="{00000000-0010-0000-0F00-000004000000}" name="Avg Review"/>
    <tableColumn id="5" xr3:uid="{00000000-0010-0000-0F00-000005000000}" name="Avg Delivery (days)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venue" displayName="tbl_revenue" ref="A29:B49">
  <autoFilter ref="A29:B49" xr:uid="{00000000-0009-0000-0100-000011000000}"/>
  <tableColumns count="2">
    <tableColumn id="1" xr3:uid="{00000000-0010-0000-1000-000001000000}" name="Month"/>
    <tableColumn id="2" xr3:uid="{00000000-0010-0000-1000-000002000000}" name="Revenue (R$)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fm" displayName="tbl_rfm" ref="A53:G59">
  <autoFilter ref="A53:G59" xr:uid="{00000000-0009-0000-0100-000012000000}"/>
  <tableColumns count="7">
    <tableColumn id="1" xr3:uid="{00000000-0010-0000-1100-000001000000}" name="Segment"/>
    <tableColumn id="2" xr3:uid="{00000000-0010-0000-1100-000002000000}" name="Customers"/>
    <tableColumn id="3" xr3:uid="{00000000-0010-0000-1100-000003000000}" name="Customer %"/>
    <tableColumn id="4" xr3:uid="{00000000-0010-0000-1100-000004000000}" name="Revenue (R$)"/>
    <tableColumn id="5" xr3:uid="{00000000-0010-0000-1100-000005000000}" name="Revenue %"/>
    <tableColumn id="6" xr3:uid="{00000000-0010-0000-1100-000006000000}" name="ARPU (R$)"/>
    <tableColumn id="7" xr3:uid="{00000000-0010-0000-1100-000007000000}" name="Avg Recency (d)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installments" displayName="tbl_installments" ref="A63:G68">
  <autoFilter ref="A63:G68" xr:uid="{00000000-0009-0000-0100-000013000000}"/>
  <tableColumns count="7">
    <tableColumn id="1" xr3:uid="{00000000-0010-0000-1200-000001000000}" name="Bucket"/>
    <tableColumn id="2" xr3:uid="{00000000-0010-0000-1200-000002000000}" name="Orders"/>
    <tableColumn id="3" xr3:uid="{00000000-0010-0000-1200-000003000000}" name="Avg Ticket (R$)"/>
    <tableColumn id="4" xr3:uid="{00000000-0010-0000-1200-000004000000}" name="Customers"/>
    <tableColumn id="5" xr3:uid="{00000000-0010-0000-1200-000005000000}" name="Repeat Rate"/>
    <tableColumn id="6" xr3:uid="{00000000-0010-0000-1200-000006000000}" name="Total Revenue"/>
    <tableColumn id="7" xr3:uid="{00000000-0010-0000-1200-000007000000}" name="Repeat Customer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logistics" displayName="tbl_logistics" ref="A72:D87">
  <autoFilter ref="A72:D87" xr:uid="{00000000-0009-0000-0100-000014000000}"/>
  <tableColumns count="4">
    <tableColumn id="1" xr3:uid="{00000000-0010-0000-1300-000001000000}" name="State"/>
    <tableColumn id="2" xr3:uid="{00000000-0010-0000-1300-000002000000}" name="Actual days"/>
    <tableColumn id="3" xr3:uid="{00000000-0010-0000-1300-000003000000}" name="Estimated days"/>
    <tableColumn id="4" xr3:uid="{00000000-0010-0000-1300-000004000000}" name="ETA gap (days)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cohort" displayName="tbl_cohort" ref="A91:N111">
  <autoFilter ref="A91:N111" xr:uid="{00000000-0009-0000-0100-000015000000}"/>
  <tableColumns count="14">
    <tableColumn id="1" xr3:uid="{00000000-0010-0000-1400-000001000000}" name="Cohort"/>
    <tableColumn id="2" xr3:uid="{00000000-0010-0000-1400-000002000000}" name="M0"/>
    <tableColumn id="3" xr3:uid="{00000000-0010-0000-1400-000003000000}" name="M1"/>
    <tableColumn id="4" xr3:uid="{00000000-0010-0000-1400-000004000000}" name="M2"/>
    <tableColumn id="5" xr3:uid="{00000000-0010-0000-1400-000005000000}" name="M3"/>
    <tableColumn id="6" xr3:uid="{00000000-0010-0000-1400-000006000000}" name="M4"/>
    <tableColumn id="7" xr3:uid="{00000000-0010-0000-1400-000007000000}" name="M5"/>
    <tableColumn id="8" xr3:uid="{00000000-0010-0000-1400-000008000000}" name="M6"/>
    <tableColumn id="9" xr3:uid="{00000000-0010-0000-1400-000009000000}" name="M7"/>
    <tableColumn id="10" xr3:uid="{00000000-0010-0000-1400-00000A000000}" name="M8"/>
    <tableColumn id="11" xr3:uid="{00000000-0010-0000-1400-00000B000000}" name="M9"/>
    <tableColumn id="12" xr3:uid="{00000000-0010-0000-1400-00000C000000}" name="M10"/>
    <tableColumn id="13" xr3:uid="{00000000-0010-0000-1400-00000D000000}" name="M11"/>
    <tableColumn id="14" xr3:uid="{00000000-0010-0000-1400-00000E000000}" name="M1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status_raw" displayName="tbl_status_raw" ref="A115:C120">
  <autoFilter ref="A115:C120" xr:uid="{00000000-0009-0000-0100-000016000000}"/>
  <tableColumns count="3">
    <tableColumn id="1" xr3:uid="{00000000-0010-0000-1500-000001000000}" name="Status"/>
    <tableColumn id="2" xr3:uid="{00000000-0010-0000-1500-000002000000}" name="Orders"/>
    <tableColumn id="3" xr3:uid="{00000000-0010-0000-1500-000003000000}" name="Sh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payment_raw" displayName="tbl_payment_raw" ref="A124:D128">
  <autoFilter ref="A124:D128" xr:uid="{00000000-0009-0000-0100-000017000000}"/>
  <tableColumns count="4">
    <tableColumn id="1" xr3:uid="{00000000-0010-0000-1600-000001000000}" name="Payment type"/>
    <tableColumn id="2" xr3:uid="{00000000-0010-0000-1600-000002000000}" name="Orders"/>
    <tableColumn id="3" xr3:uid="{00000000-0010-0000-1600-000003000000}" name="Share"/>
    <tableColumn id="4" xr3:uid="{00000000-0010-0000-1600-000004000000}" name="Avg installment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headlines" displayName="tbl_headlines" ref="A132:B139">
  <autoFilter ref="A132:B139" xr:uid="{00000000-0009-0000-0100-000018000000}"/>
  <tableColumns count="2">
    <tableColumn id="1" xr3:uid="{00000000-0010-0000-1700-000001000000}" name="Metric"/>
    <tableColumn id="2" xr3:uid="{00000000-0010-0000-1700-000002000000}" name="Formula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tableau.com/app/profile/jenho.cheng/viz/2_17739060990590/1?publish=yes" TargetMode="External"/><Relationship Id="rId2" Type="http://schemas.openxmlformats.org/officeDocument/2006/relationships/hyperlink" Target="https://kengkeng44.github.io/olist-project/" TargetMode="External"/><Relationship Id="rId1" Type="http://schemas.openxmlformats.org/officeDocument/2006/relationships/hyperlink" Target="https://olist-jenho.streamlit.app/" TargetMode="External"/><Relationship Id="rId5" Type="http://schemas.openxmlformats.org/officeDocument/2006/relationships/hyperlink" Target="https://github.com/kengkeng44/olist-project/blob/master/slides/portfolio.pdf" TargetMode="External"/><Relationship Id="rId4" Type="http://schemas.openxmlformats.org/officeDocument/2006/relationships/hyperlink" Target="https://github.com/kengkeng44/olist-projec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1"/>
  <sheetViews>
    <sheetView showGridLines="0" tabSelected="1" workbookViewId="0"/>
  </sheetViews>
  <sheetFormatPr defaultRowHeight="14.5" x14ac:dyDescent="0.3"/>
  <cols>
    <col min="1" max="1" width="2" customWidth="1"/>
    <col min="2" max="5" width="28" customWidth="1"/>
    <col min="6" max="6" width="2" customWidth="1"/>
  </cols>
  <sheetData>
    <row r="2" spans="2:5" ht="40" customHeight="1" x14ac:dyDescent="0.3">
      <c r="B2" s="1" t="s">
        <v>0</v>
      </c>
      <c r="C2" s="2"/>
      <c r="D2" s="2"/>
      <c r="E2" s="2"/>
    </row>
    <row r="3" spans="2:5" ht="26" customHeight="1" x14ac:dyDescent="0.3">
      <c r="B3" s="3" t="s">
        <v>1</v>
      </c>
      <c r="C3" s="2"/>
      <c r="D3" s="2"/>
      <c r="E3" s="2"/>
    </row>
    <row r="5" spans="2:5" ht="15" x14ac:dyDescent="0.35">
      <c r="B5" s="4" t="s">
        <v>2</v>
      </c>
      <c r="C5" s="5" t="s">
        <v>3</v>
      </c>
    </row>
    <row r="6" spans="2:5" ht="15" x14ac:dyDescent="0.35">
      <c r="B6" s="4" t="s">
        <v>4</v>
      </c>
      <c r="C6" s="5" t="s">
        <v>5</v>
      </c>
    </row>
    <row r="7" spans="2:5" ht="15" x14ac:dyDescent="0.35">
      <c r="B7" s="4" t="s">
        <v>6</v>
      </c>
      <c r="C7" s="5" t="s">
        <v>7</v>
      </c>
    </row>
    <row r="9" spans="2:5" ht="17" x14ac:dyDescent="0.4">
      <c r="B9" s="6" t="s">
        <v>8</v>
      </c>
    </row>
    <row r="11" spans="2:5" ht="38" customHeight="1" x14ac:dyDescent="0.3">
      <c r="B11" s="7" t="str">
        <f>"R$ "&amp;TEXT(_data_calc!$B$137/1000,"0")&amp;"K"</f>
        <v>R$ 469K</v>
      </c>
      <c r="C11" s="8" t="str">
        <f>TEXT(_data_calc!$B$139,"0.00%")</f>
        <v>1.81%</v>
      </c>
      <c r="D11" s="9" t="str">
        <f>TEXT(_data_calc!$B$138,"0.00")&amp;"×"</f>
        <v>3.48×</v>
      </c>
    </row>
    <row r="12" spans="2:5" ht="22" customHeight="1" x14ac:dyDescent="0.3">
      <c r="B12" s="10" t="s">
        <v>9</v>
      </c>
      <c r="C12" s="11" t="s">
        <v>10</v>
      </c>
      <c r="D12" s="12" t="s">
        <v>11</v>
      </c>
    </row>
    <row r="13" spans="2:5" ht="36" customHeight="1" x14ac:dyDescent="0.3">
      <c r="B13" s="13" t="s">
        <v>12</v>
      </c>
      <c r="C13" s="13" t="s">
        <v>13</v>
      </c>
      <c r="D13" s="13" t="s">
        <v>14</v>
      </c>
    </row>
    <row r="14" spans="2:5" ht="22" customHeight="1" x14ac:dyDescent="0.3">
      <c r="B14" s="14" t="s">
        <v>15</v>
      </c>
      <c r="C14" s="15"/>
      <c r="D14" s="15"/>
      <c r="E14" s="15"/>
    </row>
    <row r="15" spans="2:5" ht="22" customHeight="1" x14ac:dyDescent="0.3">
      <c r="B15" s="16" t="s">
        <v>16</v>
      </c>
      <c r="C15" s="17"/>
      <c r="D15" s="17"/>
      <c r="E15" s="17"/>
    </row>
    <row r="17" spans="2:4" ht="17" x14ac:dyDescent="0.4">
      <c r="B17" s="6" t="s">
        <v>17</v>
      </c>
    </row>
    <row r="18" spans="2:4" x14ac:dyDescent="0.3">
      <c r="B18" s="10" t="s">
        <v>18</v>
      </c>
      <c r="C18" s="10" t="s">
        <v>19</v>
      </c>
      <c r="D18" s="10" t="s">
        <v>20</v>
      </c>
    </row>
    <row r="19" spans="2:4" x14ac:dyDescent="0.3">
      <c r="B19" s="18" t="s">
        <v>21</v>
      </c>
      <c r="C19" s="19" t="s">
        <v>22</v>
      </c>
      <c r="D19" s="20" t="s">
        <v>23</v>
      </c>
    </row>
    <row r="20" spans="2:4" ht="29" x14ac:dyDescent="0.3">
      <c r="B20" s="18" t="s">
        <v>24</v>
      </c>
      <c r="C20" s="19" t="s">
        <v>25</v>
      </c>
      <c r="D20" s="20" t="s">
        <v>26</v>
      </c>
    </row>
    <row r="21" spans="2:4" x14ac:dyDescent="0.3">
      <c r="B21" s="18" t="s">
        <v>27</v>
      </c>
      <c r="C21" s="19" t="s">
        <v>28</v>
      </c>
      <c r="D21" s="20" t="s">
        <v>29</v>
      </c>
    </row>
    <row r="22" spans="2:4" ht="29" x14ac:dyDescent="0.3">
      <c r="B22" s="18" t="s">
        <v>30</v>
      </c>
      <c r="C22" s="19" t="s">
        <v>31</v>
      </c>
      <c r="D22" s="20" t="s">
        <v>32</v>
      </c>
    </row>
    <row r="23" spans="2:4" ht="29" x14ac:dyDescent="0.3">
      <c r="B23" s="18" t="s">
        <v>33</v>
      </c>
      <c r="C23" s="19" t="s">
        <v>34</v>
      </c>
      <c r="D23" s="20" t="s">
        <v>35</v>
      </c>
    </row>
    <row r="24" spans="2:4" x14ac:dyDescent="0.3">
      <c r="B24" s="18" t="s">
        <v>36</v>
      </c>
      <c r="C24" s="19" t="s">
        <v>37</v>
      </c>
      <c r="D24" s="20" t="s">
        <v>38</v>
      </c>
    </row>
    <row r="25" spans="2:4" ht="29" x14ac:dyDescent="0.3">
      <c r="B25" s="18" t="s">
        <v>39</v>
      </c>
      <c r="C25" s="19" t="s">
        <v>40</v>
      </c>
      <c r="D25" s="20" t="s">
        <v>41</v>
      </c>
    </row>
    <row r="26" spans="2:4" ht="29" x14ac:dyDescent="0.3">
      <c r="B26" s="18" t="s">
        <v>42</v>
      </c>
      <c r="C26" s="19" t="s">
        <v>43</v>
      </c>
      <c r="D26" s="20" t="s">
        <v>44</v>
      </c>
    </row>
    <row r="27" spans="2:4" ht="29" x14ac:dyDescent="0.3">
      <c r="B27" s="21" t="s">
        <v>45</v>
      </c>
      <c r="C27" s="22" t="s">
        <v>46</v>
      </c>
      <c r="D27" s="23" t="s">
        <v>47</v>
      </c>
    </row>
    <row r="30" spans="2:4" ht="17" x14ac:dyDescent="0.4">
      <c r="B30" s="6" t="s">
        <v>48</v>
      </c>
    </row>
    <row r="31" spans="2:4" x14ac:dyDescent="0.3">
      <c r="B31" s="10" t="s">
        <v>49</v>
      </c>
      <c r="C31" s="10" t="s">
        <v>50</v>
      </c>
      <c r="D31" s="10" t="s">
        <v>51</v>
      </c>
    </row>
    <row r="32" spans="2:4" ht="29" x14ac:dyDescent="0.35">
      <c r="B32" s="24" t="s">
        <v>52</v>
      </c>
      <c r="C32" s="25" t="s">
        <v>53</v>
      </c>
      <c r="D32" s="20" t="s">
        <v>54</v>
      </c>
    </row>
    <row r="33" spans="2:5" ht="29" x14ac:dyDescent="0.35">
      <c r="B33" s="24" t="s">
        <v>55</v>
      </c>
      <c r="C33" s="25" t="s">
        <v>56</v>
      </c>
      <c r="D33" s="20" t="s">
        <v>57</v>
      </c>
    </row>
    <row r="34" spans="2:5" ht="58" x14ac:dyDescent="0.35">
      <c r="B34" s="24" t="s">
        <v>58</v>
      </c>
      <c r="C34" s="25" t="s">
        <v>59</v>
      </c>
      <c r="D34" s="20" t="s">
        <v>60</v>
      </c>
    </row>
    <row r="35" spans="2:5" ht="29" x14ac:dyDescent="0.35">
      <c r="B35" s="24" t="s">
        <v>61</v>
      </c>
      <c r="C35" s="25" t="s">
        <v>62</v>
      </c>
      <c r="D35" s="20" t="s">
        <v>63</v>
      </c>
    </row>
    <row r="36" spans="2:5" ht="58" x14ac:dyDescent="0.35">
      <c r="B36" s="24" t="s">
        <v>64</v>
      </c>
      <c r="C36" s="25" t="s">
        <v>65</v>
      </c>
      <c r="D36" s="20" t="s">
        <v>66</v>
      </c>
    </row>
    <row r="39" spans="2:5" ht="17" x14ac:dyDescent="0.4">
      <c r="B39" s="6" t="s">
        <v>67</v>
      </c>
    </row>
    <row r="40" spans="2:5" x14ac:dyDescent="0.3">
      <c r="B40" s="26" t="s">
        <v>68</v>
      </c>
      <c r="C40" s="26" t="s">
        <v>69</v>
      </c>
      <c r="D40" s="26" t="s">
        <v>70</v>
      </c>
      <c r="E40" s="26" t="s">
        <v>71</v>
      </c>
    </row>
    <row r="41" spans="2:5" x14ac:dyDescent="0.3">
      <c r="B41" s="26" t="s">
        <v>72</v>
      </c>
      <c r="C41" s="26" t="s">
        <v>73</v>
      </c>
      <c r="D41" s="26" t="s">
        <v>74</v>
      </c>
    </row>
  </sheetData>
  <phoneticPr fontId="21" type="noConversion"/>
  <hyperlinks>
    <hyperlink ref="B15" location="'10_Pivot_Analysis'!A1" display="→  INTERACTIVE PivotTable on sheet  10_Pivot_Analysis  (drag fields to change view, right-click for Slicer, double-click to drill)" xr:uid="{00000000-0004-0000-0000-000000000000}"/>
    <hyperlink ref="C19" location="'02_Data_Dictionary'!A1" display="02_Data_Dictionary" xr:uid="{00000000-0004-0000-0000-000001000000}"/>
    <hyperlink ref="C20" location="'03_KPI_Dashboard'!A1" display="03_KPI_Dashboard" xr:uid="{00000000-0004-0000-0000-000002000000}"/>
    <hyperlink ref="C21" location="'04_Revenue_Trend'!A1" display="04_Revenue_Trend" xr:uid="{00000000-0004-0000-0000-000003000000}"/>
    <hyperlink ref="C22" location="'05_RFM_Segments'!A1" display="05_RFM_Segments" xr:uid="{00000000-0004-0000-0000-000004000000}"/>
    <hyperlink ref="C23" location="'06_Cohort_Heatmap'!A1" display="06_Cohort_Heatmap" xr:uid="{00000000-0004-0000-0000-000005000000}"/>
    <hyperlink ref="C24" location="'07_ROI_Calculator'!A1" display="07_ROI_Calculator" xr:uid="{00000000-0004-0000-0000-000006000000}"/>
    <hyperlink ref="C25" location="'08_Installments'!A1" display="08_Installments" xr:uid="{00000000-0004-0000-0000-000007000000}"/>
    <hyperlink ref="C26" location="'09_Logistics'!A1" display="09_Logistics" xr:uid="{00000000-0004-0000-0000-000008000000}"/>
    <hyperlink ref="C27" location="'10_Pivot_Analysis'!A1" display="10_Pivot_Analysis" xr:uid="{00000000-0004-0000-0000-000009000000}"/>
    <hyperlink ref="C32" r:id="rId1" xr:uid="{00000000-0004-0000-0000-00000A000000}"/>
    <hyperlink ref="C33" r:id="rId2" xr:uid="{00000000-0004-0000-0000-00000B000000}"/>
    <hyperlink ref="C34" r:id="rId3" xr:uid="{00000000-0004-0000-0000-00000C000000}"/>
    <hyperlink ref="C35" r:id="rId4" xr:uid="{00000000-0004-0000-0000-00000D000000}"/>
    <hyperlink ref="C36" r:id="rId5" xr:uid="{00000000-0004-0000-0000-00000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2" customWidth="1"/>
    <col min="2" max="2" width="26" customWidth="1"/>
    <col min="3" max="3" width="14" customWidth="1"/>
    <col min="4" max="4" width="44" customWidth="1"/>
    <col min="5" max="9" width="14" customWidth="1"/>
  </cols>
  <sheetData>
    <row r="2" spans="2:5" ht="23.5" x14ac:dyDescent="0.3">
      <c r="B2" s="27" t="s">
        <v>75</v>
      </c>
      <c r="C2" s="2"/>
      <c r="D2" s="2"/>
      <c r="E2" s="2"/>
    </row>
    <row r="3" spans="2:5" x14ac:dyDescent="0.3">
      <c r="B3" s="28" t="s">
        <v>76</v>
      </c>
      <c r="C3" s="2"/>
      <c r="D3" s="2"/>
      <c r="E3" s="2"/>
    </row>
    <row r="5" spans="2:5" ht="17" x14ac:dyDescent="0.4">
      <c r="B5" s="6" t="s">
        <v>77</v>
      </c>
    </row>
    <row r="6" spans="2:5" x14ac:dyDescent="0.3">
      <c r="B6" s="10" t="s">
        <v>78</v>
      </c>
      <c r="C6" s="10" t="s">
        <v>79</v>
      </c>
      <c r="D6" s="10" t="s">
        <v>80</v>
      </c>
    </row>
    <row r="7" spans="2:5" ht="29" x14ac:dyDescent="0.3">
      <c r="B7" s="29" t="s">
        <v>81</v>
      </c>
      <c r="C7" s="30">
        <v>99441</v>
      </c>
      <c r="D7" s="20" t="s">
        <v>82</v>
      </c>
    </row>
    <row r="8" spans="2:5" ht="29" x14ac:dyDescent="0.3">
      <c r="B8" s="29" t="s">
        <v>83</v>
      </c>
      <c r="C8" s="30">
        <v>99441</v>
      </c>
      <c r="D8" s="20" t="s">
        <v>84</v>
      </c>
    </row>
    <row r="9" spans="2:5" ht="29" x14ac:dyDescent="0.3">
      <c r="B9" s="29" t="s">
        <v>85</v>
      </c>
      <c r="C9" s="30">
        <v>112650</v>
      </c>
      <c r="D9" s="20" t="s">
        <v>86</v>
      </c>
    </row>
    <row r="10" spans="2:5" ht="29" x14ac:dyDescent="0.3">
      <c r="B10" s="29" t="s">
        <v>87</v>
      </c>
      <c r="C10" s="30">
        <v>103886</v>
      </c>
      <c r="D10" s="20" t="s">
        <v>88</v>
      </c>
    </row>
    <row r="11" spans="2:5" x14ac:dyDescent="0.3">
      <c r="B11" s="29" t="s">
        <v>89</v>
      </c>
      <c r="C11" s="30">
        <v>104719</v>
      </c>
      <c r="D11" s="20" t="s">
        <v>90</v>
      </c>
    </row>
    <row r="12" spans="2:5" x14ac:dyDescent="0.3">
      <c r="B12" s="29" t="s">
        <v>91</v>
      </c>
      <c r="C12" s="30">
        <v>32951</v>
      </c>
      <c r="D12" s="20" t="s">
        <v>92</v>
      </c>
    </row>
    <row r="13" spans="2:5" x14ac:dyDescent="0.3">
      <c r="B13" s="29" t="s">
        <v>93</v>
      </c>
      <c r="C13" s="30">
        <v>3095</v>
      </c>
      <c r="D13" s="20" t="s">
        <v>94</v>
      </c>
    </row>
    <row r="14" spans="2:5" x14ac:dyDescent="0.3">
      <c r="B14" s="29" t="s">
        <v>95</v>
      </c>
      <c r="C14" s="30">
        <v>1000163</v>
      </c>
      <c r="D14" s="20" t="s">
        <v>96</v>
      </c>
    </row>
    <row r="15" spans="2:5" x14ac:dyDescent="0.3">
      <c r="B15" s="29" t="s">
        <v>97</v>
      </c>
      <c r="C15" s="30">
        <v>71</v>
      </c>
      <c r="D15" s="20" t="s">
        <v>98</v>
      </c>
    </row>
    <row r="18" spans="2:9" ht="17" x14ac:dyDescent="0.4">
      <c r="B18" s="6" t="s">
        <v>99</v>
      </c>
    </row>
    <row r="19" spans="2:9" ht="43.5" x14ac:dyDescent="0.3">
      <c r="B19" s="10" t="s">
        <v>100</v>
      </c>
      <c r="C19" s="10" t="s">
        <v>101</v>
      </c>
      <c r="D19" s="10" t="s">
        <v>102</v>
      </c>
      <c r="E19" s="10" t="s">
        <v>103</v>
      </c>
      <c r="F19" s="10" t="s">
        <v>104</v>
      </c>
      <c r="G19" s="10" t="s">
        <v>105</v>
      </c>
      <c r="H19" s="10" t="s">
        <v>106</v>
      </c>
      <c r="I19" s="10" t="s">
        <v>107</v>
      </c>
    </row>
    <row r="20" spans="2:9" ht="36" x14ac:dyDescent="0.3">
      <c r="B20" s="31" t="s">
        <v>108</v>
      </c>
      <c r="C20" s="31" t="s">
        <v>109</v>
      </c>
      <c r="D20" s="31" t="s">
        <v>110</v>
      </c>
      <c r="E20" s="31" t="s">
        <v>111</v>
      </c>
      <c r="F20" s="31" t="s">
        <v>112</v>
      </c>
      <c r="G20" s="31" t="s">
        <v>113</v>
      </c>
      <c r="H20" s="31" t="s">
        <v>114</v>
      </c>
      <c r="I20" s="31" t="s">
        <v>115</v>
      </c>
    </row>
    <row r="21" spans="2:9" ht="36" x14ac:dyDescent="0.3">
      <c r="B21" s="31" t="s">
        <v>116</v>
      </c>
      <c r="C21" s="31" t="s">
        <v>117</v>
      </c>
      <c r="D21" s="31" t="s">
        <v>110</v>
      </c>
      <c r="E21" s="31" t="s">
        <v>118</v>
      </c>
      <c r="F21" s="31" t="s">
        <v>119</v>
      </c>
      <c r="G21" s="31" t="s">
        <v>120</v>
      </c>
      <c r="H21" s="31" t="s">
        <v>121</v>
      </c>
      <c r="I21" s="31" t="s">
        <v>122</v>
      </c>
    </row>
    <row r="22" spans="2:9" ht="36" x14ac:dyDescent="0.3">
      <c r="B22" s="31" t="s">
        <v>123</v>
      </c>
      <c r="C22" s="31" t="s">
        <v>124</v>
      </c>
      <c r="D22" s="31" t="s">
        <v>110</v>
      </c>
      <c r="E22" s="31" t="s">
        <v>125</v>
      </c>
      <c r="F22" s="31" t="s">
        <v>126</v>
      </c>
      <c r="G22" s="31" t="s">
        <v>127</v>
      </c>
      <c r="H22" s="31" t="s">
        <v>128</v>
      </c>
      <c r="I22" s="31" t="s">
        <v>129</v>
      </c>
    </row>
    <row r="24" spans="2:9" ht="17" x14ac:dyDescent="0.4">
      <c r="B24" s="6" t="s">
        <v>130</v>
      </c>
    </row>
    <row r="25" spans="2:9" ht="29" x14ac:dyDescent="0.3">
      <c r="B25" s="10" t="s">
        <v>101</v>
      </c>
      <c r="C25" s="10" t="s">
        <v>131</v>
      </c>
      <c r="D25" s="10" t="s">
        <v>132</v>
      </c>
      <c r="E25" s="10" t="s">
        <v>133</v>
      </c>
      <c r="F25" s="10" t="s">
        <v>134</v>
      </c>
    </row>
    <row r="26" spans="2:9" ht="36" x14ac:dyDescent="0.3">
      <c r="B26" s="31" t="s">
        <v>135</v>
      </c>
      <c r="C26" s="31" t="s">
        <v>136</v>
      </c>
      <c r="D26" s="31">
        <v>14409</v>
      </c>
      <c r="E26" s="31" t="s">
        <v>137</v>
      </c>
      <c r="F26" s="31" t="s">
        <v>138</v>
      </c>
    </row>
    <row r="27" spans="2:9" ht="36" x14ac:dyDescent="0.3">
      <c r="B27" s="31" t="s">
        <v>139</v>
      </c>
      <c r="C27" s="31" t="s">
        <v>140</v>
      </c>
      <c r="D27" s="31">
        <v>89254</v>
      </c>
      <c r="E27" s="31" t="s">
        <v>141</v>
      </c>
      <c r="F27" s="31" t="s">
        <v>142</v>
      </c>
    </row>
    <row r="28" spans="2:9" ht="36" x14ac:dyDescent="0.3">
      <c r="B28" s="31" t="s">
        <v>143</v>
      </c>
      <c r="C28" s="31" t="s">
        <v>144</v>
      </c>
      <c r="D28" s="31">
        <v>35182</v>
      </c>
      <c r="E28" s="31" t="s">
        <v>145</v>
      </c>
      <c r="F28" s="31" t="s">
        <v>146</v>
      </c>
    </row>
    <row r="30" spans="2:9" ht="17" x14ac:dyDescent="0.4">
      <c r="B30" s="6" t="s">
        <v>147</v>
      </c>
    </row>
    <row r="31" spans="2:9" ht="29" x14ac:dyDescent="0.3">
      <c r="B31" s="10" t="s">
        <v>100</v>
      </c>
      <c r="C31" s="10" t="s">
        <v>148</v>
      </c>
      <c r="D31" s="10" t="s">
        <v>149</v>
      </c>
      <c r="E31" s="10" t="s">
        <v>150</v>
      </c>
      <c r="F31" s="10" t="s">
        <v>151</v>
      </c>
      <c r="G31" s="10" t="s">
        <v>152</v>
      </c>
      <c r="H31" s="10" t="s">
        <v>153</v>
      </c>
    </row>
    <row r="32" spans="2:9" ht="36" x14ac:dyDescent="0.3">
      <c r="B32" s="31" t="s">
        <v>154</v>
      </c>
      <c r="C32" s="31">
        <v>1</v>
      </c>
      <c r="D32" s="31" t="s">
        <v>155</v>
      </c>
      <c r="E32" s="31" t="s">
        <v>156</v>
      </c>
      <c r="F32" s="31" t="s">
        <v>157</v>
      </c>
      <c r="G32" s="31">
        <v>58.9</v>
      </c>
      <c r="H32" s="31">
        <v>13.29</v>
      </c>
    </row>
    <row r="33" spans="2:8" ht="36" x14ac:dyDescent="0.3">
      <c r="B33" s="31" t="s">
        <v>158</v>
      </c>
      <c r="C33" s="31">
        <v>2</v>
      </c>
      <c r="D33" s="31" t="s">
        <v>159</v>
      </c>
      <c r="E33" s="31" t="s">
        <v>160</v>
      </c>
      <c r="F33" s="31" t="s">
        <v>161</v>
      </c>
      <c r="G33" s="31">
        <v>49.9</v>
      </c>
      <c r="H33" s="31">
        <v>13.37</v>
      </c>
    </row>
    <row r="34" spans="2:8" ht="36" x14ac:dyDescent="0.3">
      <c r="B34" s="31" t="s">
        <v>162</v>
      </c>
      <c r="C34" s="31">
        <v>3</v>
      </c>
      <c r="D34" s="31" t="s">
        <v>163</v>
      </c>
      <c r="E34" s="31" t="s">
        <v>164</v>
      </c>
      <c r="F34" s="31" t="s">
        <v>165</v>
      </c>
      <c r="G34" s="31">
        <v>21.33</v>
      </c>
      <c r="H34" s="31">
        <v>15.1</v>
      </c>
    </row>
    <row r="36" spans="2:8" ht="17" x14ac:dyDescent="0.4">
      <c r="B36" s="6" t="s">
        <v>166</v>
      </c>
    </row>
    <row r="37" spans="2:8" ht="29" x14ac:dyDescent="0.3">
      <c r="B37" s="10" t="s">
        <v>100</v>
      </c>
      <c r="C37" s="10" t="s">
        <v>167</v>
      </c>
      <c r="D37" s="10" t="s">
        <v>168</v>
      </c>
      <c r="E37" s="10" t="s">
        <v>169</v>
      </c>
      <c r="F37" s="10" t="s">
        <v>170</v>
      </c>
    </row>
    <row r="38" spans="2:8" ht="24" x14ac:dyDescent="0.3">
      <c r="B38" s="31" t="s">
        <v>171</v>
      </c>
      <c r="C38" s="31">
        <v>1</v>
      </c>
      <c r="D38" s="31" t="s">
        <v>172</v>
      </c>
      <c r="E38" s="31">
        <v>8</v>
      </c>
      <c r="F38" s="31">
        <v>99.33</v>
      </c>
    </row>
    <row r="39" spans="2:8" ht="24" x14ac:dyDescent="0.3">
      <c r="B39" s="31" t="s">
        <v>173</v>
      </c>
      <c r="C39" s="31">
        <v>1</v>
      </c>
      <c r="D39" s="31" t="s">
        <v>174</v>
      </c>
      <c r="E39" s="31">
        <v>1</v>
      </c>
      <c r="F39" s="31">
        <v>51.95</v>
      </c>
    </row>
    <row r="40" spans="2:8" ht="24" x14ac:dyDescent="0.3">
      <c r="B40" s="31" t="s">
        <v>175</v>
      </c>
      <c r="C40" s="31">
        <v>2</v>
      </c>
      <c r="D40" s="31" t="s">
        <v>176</v>
      </c>
      <c r="E40" s="31">
        <v>1</v>
      </c>
      <c r="F40" s="31">
        <v>45.17</v>
      </c>
    </row>
    <row r="42" spans="2:8" ht="17" x14ac:dyDescent="0.4">
      <c r="B42" s="6" t="s">
        <v>177</v>
      </c>
    </row>
    <row r="43" spans="2:8" ht="29" x14ac:dyDescent="0.3">
      <c r="B43" s="10" t="s">
        <v>178</v>
      </c>
      <c r="C43" s="10" t="s">
        <v>100</v>
      </c>
      <c r="D43" s="10" t="s">
        <v>179</v>
      </c>
      <c r="E43" s="10" t="s">
        <v>180</v>
      </c>
      <c r="F43" s="10" t="s">
        <v>181</v>
      </c>
      <c r="G43" s="10" t="s">
        <v>182</v>
      </c>
      <c r="H43" s="10" t="s">
        <v>183</v>
      </c>
    </row>
    <row r="44" spans="2:8" ht="192" x14ac:dyDescent="0.3">
      <c r="B44" s="31" t="s">
        <v>184</v>
      </c>
      <c r="C44" s="31" t="s">
        <v>185</v>
      </c>
      <c r="D44" s="31">
        <v>4</v>
      </c>
      <c r="E44" s="31" t="s">
        <v>186</v>
      </c>
      <c r="F44" s="31" t="s">
        <v>187</v>
      </c>
      <c r="G44" s="31" t="s">
        <v>188</v>
      </c>
      <c r="H44" s="31" t="s">
        <v>189</v>
      </c>
    </row>
    <row r="45" spans="2:8" ht="60" x14ac:dyDescent="0.3">
      <c r="B45" s="31" t="s">
        <v>190</v>
      </c>
      <c r="C45" s="31" t="s">
        <v>191</v>
      </c>
      <c r="D45" s="31">
        <v>5</v>
      </c>
      <c r="E45" s="31" t="s">
        <v>192</v>
      </c>
      <c r="F45" s="31" t="s">
        <v>193</v>
      </c>
      <c r="G45" s="31" t="s">
        <v>194</v>
      </c>
      <c r="H45" s="31" t="s">
        <v>195</v>
      </c>
    </row>
    <row r="46" spans="2:8" ht="36" x14ac:dyDescent="0.3">
      <c r="B46" s="31" t="s">
        <v>196</v>
      </c>
      <c r="C46" s="31" t="s">
        <v>197</v>
      </c>
      <c r="D46" s="31">
        <v>1</v>
      </c>
      <c r="E46" s="31" t="s">
        <v>198</v>
      </c>
      <c r="F46" s="31" t="s">
        <v>199</v>
      </c>
      <c r="G46" s="31" t="s">
        <v>200</v>
      </c>
      <c r="H46" s="31" t="s">
        <v>201</v>
      </c>
    </row>
  </sheetData>
  <phoneticPr fontId="21" type="noConversion"/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2" customWidth="1"/>
    <col min="2" max="2" width="32" customWidth="1"/>
    <col min="3" max="6" width="18" customWidth="1"/>
    <col min="7" max="7" width="2" customWidth="1"/>
  </cols>
  <sheetData>
    <row r="2" spans="2:6" ht="23.5" x14ac:dyDescent="0.3">
      <c r="B2" s="27" t="s">
        <v>202</v>
      </c>
      <c r="C2" s="2"/>
      <c r="D2" s="2"/>
      <c r="E2" s="2"/>
      <c r="F2" s="2"/>
    </row>
    <row r="5" spans="2:6" ht="17" x14ac:dyDescent="0.4">
      <c r="B5" s="6" t="s">
        <v>203</v>
      </c>
    </row>
    <row r="6" spans="2:6" x14ac:dyDescent="0.3">
      <c r="B6" s="10" t="s">
        <v>204</v>
      </c>
      <c r="C6" s="10" t="s">
        <v>205</v>
      </c>
    </row>
    <row r="7" spans="2:6" x14ac:dyDescent="0.3">
      <c r="B7" s="32" t="s">
        <v>206</v>
      </c>
      <c r="C7" s="33">
        <f>_xlfn.XLOOKUP(B7,_data_calc!$A:$A,_data_calc!$B:$B,0)</f>
        <v>99441</v>
      </c>
    </row>
    <row r="8" spans="2:6" x14ac:dyDescent="0.3">
      <c r="B8" s="32" t="s">
        <v>207</v>
      </c>
      <c r="C8" s="33">
        <f>_xlfn.XLOOKUP(B8,_data_calc!$A:$A,_data_calc!$B:$B,0)</f>
        <v>96096</v>
      </c>
    </row>
    <row r="9" spans="2:6" x14ac:dyDescent="0.3">
      <c r="B9" s="32" t="s">
        <v>208</v>
      </c>
      <c r="C9" s="33">
        <f>_xlfn.XLOOKUP(B9,_data_calc!$A:$A,_data_calc!$B:$B,0)</f>
        <v>3095</v>
      </c>
    </row>
    <row r="10" spans="2:6" x14ac:dyDescent="0.3">
      <c r="B10" s="32" t="s">
        <v>209</v>
      </c>
      <c r="C10" s="33">
        <f>_xlfn.XLOOKUP(B10,_data_calc!$A:$A,_data_calc!$B:$B,0)</f>
        <v>32951</v>
      </c>
    </row>
    <row r="11" spans="2:6" x14ac:dyDescent="0.3">
      <c r="B11" s="32" t="s">
        <v>210</v>
      </c>
      <c r="C11" s="33">
        <f>_xlfn.XLOOKUP(B11,_data_calc!$A:$A,_data_calc!$B:$B,0)</f>
        <v>71</v>
      </c>
    </row>
    <row r="12" spans="2:6" x14ac:dyDescent="0.3">
      <c r="B12" s="32" t="s">
        <v>211</v>
      </c>
      <c r="C12" s="34">
        <f>_xlfn.XLOOKUP(B12,_data_calc!$A:$A,_data_calc!$B:$B,0)</f>
        <v>27</v>
      </c>
    </row>
    <row r="13" spans="2:6" x14ac:dyDescent="0.3">
      <c r="B13" s="32" t="s">
        <v>212</v>
      </c>
      <c r="C13" s="33">
        <f>_xlfn.XLOOKUP(B13,_data_calc!$A:$A,_data_calc!$B:$B,0)</f>
        <v>4119</v>
      </c>
    </row>
    <row r="14" spans="2:6" x14ac:dyDescent="0.3">
      <c r="B14" s="32" t="s">
        <v>213</v>
      </c>
      <c r="C14" s="33">
        <f>_xlfn.XLOOKUP(B14,_data_calc!$A:$A,_data_calc!$B:$B,0)</f>
        <v>13591644</v>
      </c>
    </row>
    <row r="15" spans="2:6" x14ac:dyDescent="0.3">
      <c r="B15" s="32" t="s">
        <v>214</v>
      </c>
      <c r="C15" s="35">
        <f>_xlfn.XLOOKUP(B15,_data_calc!$A:$A,_data_calc!$B:$B,0)</f>
        <v>137.41</v>
      </c>
    </row>
    <row r="18" spans="2:6" ht="17" x14ac:dyDescent="0.4">
      <c r="B18" s="6" t="s">
        <v>215</v>
      </c>
    </row>
    <row r="19" spans="2:6" x14ac:dyDescent="0.3">
      <c r="B19" s="10" t="s">
        <v>216</v>
      </c>
      <c r="C19" s="10" t="s">
        <v>217</v>
      </c>
      <c r="D19" s="10" t="s">
        <v>218</v>
      </c>
      <c r="E19" s="10" t="s">
        <v>219</v>
      </c>
      <c r="F19" s="10" t="s">
        <v>220</v>
      </c>
    </row>
    <row r="20" spans="2:6" x14ac:dyDescent="0.3">
      <c r="B20" s="20">
        <v>2016</v>
      </c>
      <c r="C20" s="36">
        <f>_xlfn.XLOOKUP(B20,_data_calc!$A:$A,_data_calc!$B:$B,0)</f>
        <v>0.04</v>
      </c>
      <c r="D20" s="37">
        <f>_xlfn.XLOOKUP(B20,_data_calc!$A:$A,_data_calc!$C:$C,0)</f>
        <v>264</v>
      </c>
      <c r="E20" s="36">
        <f>_xlfn.XLOOKUP(B20,_data_calc!$A:$A,_data_calc!$D:$D,0)</f>
        <v>3.9</v>
      </c>
      <c r="F20" s="36">
        <f>_xlfn.XLOOKUP(B20,_data_calc!$A:$A,_data_calc!$E:$E,0)</f>
        <v>19.600000000000001</v>
      </c>
    </row>
    <row r="21" spans="2:6" x14ac:dyDescent="0.3">
      <c r="B21" s="20">
        <v>2017</v>
      </c>
      <c r="C21" s="36">
        <f>_xlfn.XLOOKUP(B21,_data_calc!$A:$A,_data_calc!$B:$B,0)</f>
        <v>5.94</v>
      </c>
      <c r="D21" s="37">
        <f>_xlfn.XLOOKUP(B21,_data_calc!$A:$A,_data_calc!$C:$C,0)</f>
        <v>43098</v>
      </c>
      <c r="E21" s="36">
        <f>_xlfn.XLOOKUP(B21,_data_calc!$A:$A,_data_calc!$D:$D,0)</f>
        <v>4.0999999999999996</v>
      </c>
      <c r="F21" s="36">
        <f>_xlfn.XLOOKUP(B21,_data_calc!$A:$A,_data_calc!$E:$E,0)</f>
        <v>12.9</v>
      </c>
    </row>
    <row r="22" spans="2:6" x14ac:dyDescent="0.3">
      <c r="B22" s="20">
        <v>2018</v>
      </c>
      <c r="C22" s="36">
        <f>_xlfn.XLOOKUP(B22,_data_calc!$A:$A,_data_calc!$B:$B,0)</f>
        <v>7.19</v>
      </c>
      <c r="D22" s="37">
        <f>_xlfn.XLOOKUP(B22,_data_calc!$A:$A,_data_calc!$C:$C,0)</f>
        <v>52462</v>
      </c>
      <c r="E22" s="36">
        <f>_xlfn.XLOOKUP(B22,_data_calc!$A:$A,_data_calc!$D:$D,0)</f>
        <v>4.0999999999999996</v>
      </c>
      <c r="F22" s="36">
        <f>_xlfn.XLOOKUP(B22,_data_calc!$A:$A,_data_calc!$E:$E,0)</f>
        <v>12</v>
      </c>
    </row>
    <row r="25" spans="2:6" ht="17" x14ac:dyDescent="0.4">
      <c r="B25" s="6" t="s">
        <v>221</v>
      </c>
    </row>
    <row r="26" spans="2:6" x14ac:dyDescent="0.3">
      <c r="B26" s="10" t="s">
        <v>222</v>
      </c>
      <c r="C26" s="10" t="s">
        <v>218</v>
      </c>
      <c r="D26" s="10" t="s">
        <v>223</v>
      </c>
    </row>
    <row r="27" spans="2:6" x14ac:dyDescent="0.3">
      <c r="B27" s="38" t="s">
        <v>110</v>
      </c>
      <c r="C27" s="30">
        <f>_xlfn.XLOOKUP(B27,_data_calc!$A:$A,_data_calc!$B:$B,0)</f>
        <v>96478</v>
      </c>
      <c r="D27" s="39">
        <f>C27/SUM($C$27:$C$31)</f>
        <v>0.97020343721402635</v>
      </c>
    </row>
    <row r="28" spans="2:6" x14ac:dyDescent="0.3">
      <c r="B28" s="38" t="s">
        <v>224</v>
      </c>
      <c r="C28" s="30">
        <f>_xlfn.XLOOKUP(B28,_data_calc!$A:$A,_data_calc!$B:$B,0)</f>
        <v>1107</v>
      </c>
      <c r="D28" s="39">
        <f>C28/SUM($C$27:$C$31)</f>
        <v>1.1132229161010046E-2</v>
      </c>
    </row>
    <row r="29" spans="2:6" x14ac:dyDescent="0.3">
      <c r="B29" s="38" t="s">
        <v>225</v>
      </c>
      <c r="C29" s="30">
        <f>_xlfn.XLOOKUP(B29,_data_calc!$A:$A,_data_calc!$B:$B,0)</f>
        <v>625</v>
      </c>
      <c r="D29" s="39">
        <f>C29/SUM($C$27:$C$31)</f>
        <v>6.2851338984925738E-3</v>
      </c>
    </row>
    <row r="30" spans="2:6" x14ac:dyDescent="0.3">
      <c r="B30" s="38" t="s">
        <v>226</v>
      </c>
      <c r="C30" s="30">
        <f>_xlfn.XLOOKUP(B30,_data_calc!$A:$A,_data_calc!$B:$B,0)</f>
        <v>609</v>
      </c>
      <c r="D30" s="39">
        <f>C30/SUM($C$27:$C$31)</f>
        <v>6.1242344706911632E-3</v>
      </c>
    </row>
    <row r="31" spans="2:6" x14ac:dyDescent="0.3">
      <c r="B31" s="38" t="s">
        <v>227</v>
      </c>
      <c r="C31" s="30">
        <f>_xlfn.XLOOKUP(B31,_data_calc!$A:$A,_data_calc!$B:$B,0)</f>
        <v>622</v>
      </c>
      <c r="D31" s="39">
        <f>C31/SUM($C$27:$C$31)</f>
        <v>6.2549652557798091E-3</v>
      </c>
    </row>
    <row r="34" spans="2:5" ht="17" x14ac:dyDescent="0.4">
      <c r="B34" s="6" t="s">
        <v>228</v>
      </c>
    </row>
    <row r="35" spans="2:5" x14ac:dyDescent="0.3">
      <c r="B35" s="10" t="s">
        <v>229</v>
      </c>
      <c r="C35" s="10" t="s">
        <v>218</v>
      </c>
      <c r="D35" s="10" t="s">
        <v>223</v>
      </c>
      <c r="E35" s="10" t="s">
        <v>230</v>
      </c>
    </row>
    <row r="36" spans="2:5" x14ac:dyDescent="0.3">
      <c r="B36" s="38" t="s">
        <v>172</v>
      </c>
      <c r="C36" s="30">
        <f>_xlfn.XLOOKUP(B36,_data_calc!$A:$A,_data_calc!$B:$B,0)</f>
        <v>76505</v>
      </c>
      <c r="D36" s="39">
        <f>C36/SUM($C$36:$C$39)</f>
        <v>0.75238732138115516</v>
      </c>
      <c r="E36" s="40">
        <f>_xlfn.XLOOKUP(B36,_data_calc!$A:$A,_data_calc!$D:$D,0)</f>
        <v>3.51</v>
      </c>
    </row>
    <row r="37" spans="2:5" x14ac:dyDescent="0.3">
      <c r="B37" s="38" t="s">
        <v>174</v>
      </c>
      <c r="C37" s="30">
        <f>_xlfn.XLOOKUP(B37,_data_calc!$A:$A,_data_calc!$B:$B,0)</f>
        <v>19784</v>
      </c>
      <c r="D37" s="39">
        <f>C37/SUM($C$36:$C$39)</f>
        <v>0.19456546325344454</v>
      </c>
      <c r="E37" s="40">
        <f>_xlfn.XLOOKUP(B37,_data_calc!$A:$A,_data_calc!$D:$D,0)</f>
        <v>1</v>
      </c>
    </row>
    <row r="38" spans="2:5" x14ac:dyDescent="0.3">
      <c r="B38" s="38" t="s">
        <v>176</v>
      </c>
      <c r="C38" s="30">
        <f>_xlfn.XLOOKUP(B38,_data_calc!$A:$A,_data_calc!$B:$B,0)</f>
        <v>3866</v>
      </c>
      <c r="D38" s="39">
        <f>C38/SUM($C$36:$C$39)</f>
        <v>3.8020121357552394E-2</v>
      </c>
      <c r="E38" s="40">
        <f>_xlfn.XLOOKUP(B38,_data_calc!$A:$A,_data_calc!$D:$D,0)</f>
        <v>1</v>
      </c>
    </row>
    <row r="39" spans="2:5" x14ac:dyDescent="0.3">
      <c r="B39" s="38" t="s">
        <v>231</v>
      </c>
      <c r="C39" s="30">
        <f>_xlfn.XLOOKUP(B39,_data_calc!$A:$A,_data_calc!$B:$B,0)</f>
        <v>1528</v>
      </c>
      <c r="D39" s="39">
        <f>C39/SUM($C$36:$C$39)</f>
        <v>1.502709400784792E-2</v>
      </c>
      <c r="E39" s="40">
        <f>_xlfn.XLOOKUP(B39,_data_calc!$A:$A,_data_calc!$D:$D,0)</f>
        <v>1</v>
      </c>
    </row>
  </sheetData>
  <phoneticPr fontId="21" type="noConversion"/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2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2" customWidth="1"/>
    <col min="2" max="2" width="14" customWidth="1"/>
    <col min="3" max="3" width="18" customWidth="1"/>
    <col min="4" max="4" width="2" customWidth="1"/>
  </cols>
  <sheetData>
    <row r="2" spans="2:3" ht="47" x14ac:dyDescent="0.3">
      <c r="B2" s="27" t="s">
        <v>232</v>
      </c>
      <c r="C2" s="2"/>
    </row>
    <row r="5" spans="2:3" x14ac:dyDescent="0.3">
      <c r="B5" s="10" t="s">
        <v>233</v>
      </c>
      <c r="C5" s="10" t="s">
        <v>234</v>
      </c>
    </row>
    <row r="6" spans="2:3" x14ac:dyDescent="0.3">
      <c r="B6" s="38" t="s">
        <v>235</v>
      </c>
      <c r="C6" s="30">
        <f>_xlfn.XLOOKUP(B6,_data_calc!$A:$A,_data_calc!$B:$B,0)</f>
        <v>111798.36</v>
      </c>
    </row>
    <row r="7" spans="2:3" x14ac:dyDescent="0.3">
      <c r="B7" s="38" t="s">
        <v>236</v>
      </c>
      <c r="C7" s="30">
        <f>_xlfn.XLOOKUP(B7,_data_calc!$A:$A,_data_calc!$B:$B,0)</f>
        <v>234223.4</v>
      </c>
    </row>
    <row r="8" spans="2:3" x14ac:dyDescent="0.3">
      <c r="B8" s="38" t="s">
        <v>237</v>
      </c>
      <c r="C8" s="30">
        <f>_xlfn.XLOOKUP(B8,_data_calc!$A:$A,_data_calc!$B:$B,0)</f>
        <v>359198.85</v>
      </c>
    </row>
    <row r="9" spans="2:3" x14ac:dyDescent="0.3">
      <c r="B9" s="38" t="s">
        <v>238</v>
      </c>
      <c r="C9" s="30">
        <f>_xlfn.XLOOKUP(B9,_data_calc!$A:$A,_data_calc!$B:$B,0)</f>
        <v>340669.68</v>
      </c>
    </row>
    <row r="10" spans="2:3" x14ac:dyDescent="0.3">
      <c r="B10" s="38" t="s">
        <v>239</v>
      </c>
      <c r="C10" s="30">
        <f>_xlfn.XLOOKUP(B10,_data_calc!$A:$A,_data_calc!$B:$B,0)</f>
        <v>489338.25</v>
      </c>
    </row>
    <row r="11" spans="2:3" x14ac:dyDescent="0.3">
      <c r="B11" s="38" t="s">
        <v>240</v>
      </c>
      <c r="C11" s="30">
        <f>_xlfn.XLOOKUP(B11,_data_calc!$A:$A,_data_calc!$B:$B,0)</f>
        <v>421923.37</v>
      </c>
    </row>
    <row r="12" spans="2:3" x14ac:dyDescent="0.3">
      <c r="B12" s="38" t="s">
        <v>241</v>
      </c>
      <c r="C12" s="30">
        <f>_xlfn.XLOOKUP(B12,_data_calc!$A:$A,_data_calc!$B:$B,0)</f>
        <v>481604.52</v>
      </c>
    </row>
    <row r="13" spans="2:3" x14ac:dyDescent="0.3">
      <c r="B13" s="38" t="s">
        <v>242</v>
      </c>
      <c r="C13" s="30">
        <f>_xlfn.XLOOKUP(B13,_data_calc!$A:$A,_data_calc!$B:$B,0)</f>
        <v>554699.69999999995</v>
      </c>
    </row>
    <row r="14" spans="2:3" x14ac:dyDescent="0.3">
      <c r="B14" s="38" t="s">
        <v>243</v>
      </c>
      <c r="C14" s="30">
        <f>_xlfn.XLOOKUP(B14,_data_calc!$A:$A,_data_calc!$B:$B,0)</f>
        <v>607399.67000000004</v>
      </c>
    </row>
    <row r="15" spans="2:3" x14ac:dyDescent="0.3">
      <c r="B15" s="38" t="s">
        <v>244</v>
      </c>
      <c r="C15" s="30">
        <f>_xlfn.XLOOKUP(B15,_data_calc!$A:$A,_data_calc!$B:$B,0)</f>
        <v>648247.65</v>
      </c>
    </row>
    <row r="16" spans="2:3" x14ac:dyDescent="0.3">
      <c r="B16" s="38" t="s">
        <v>245</v>
      </c>
      <c r="C16" s="30">
        <f>_xlfn.XLOOKUP(B16,_data_calc!$A:$A,_data_calc!$B:$B,0)</f>
        <v>987765.37</v>
      </c>
    </row>
    <row r="17" spans="2:3" x14ac:dyDescent="0.3">
      <c r="B17" s="38" t="s">
        <v>246</v>
      </c>
      <c r="C17" s="30">
        <f>_xlfn.XLOOKUP(B17,_data_calc!$A:$A,_data_calc!$B:$B,0)</f>
        <v>726033.19</v>
      </c>
    </row>
    <row r="18" spans="2:3" x14ac:dyDescent="0.3">
      <c r="B18" s="38" t="s">
        <v>247</v>
      </c>
      <c r="C18" s="30">
        <f>_xlfn.XLOOKUP(B18,_data_calc!$A:$A,_data_calc!$B:$B,0)</f>
        <v>924645</v>
      </c>
    </row>
    <row r="19" spans="2:3" x14ac:dyDescent="0.3">
      <c r="B19" s="38" t="s">
        <v>248</v>
      </c>
      <c r="C19" s="30">
        <f>_xlfn.XLOOKUP(B19,_data_calc!$A:$A,_data_calc!$B:$B,0)</f>
        <v>826437.13</v>
      </c>
    </row>
    <row r="20" spans="2:3" x14ac:dyDescent="0.3">
      <c r="B20" s="38" t="s">
        <v>249</v>
      </c>
      <c r="C20" s="30">
        <f>_xlfn.XLOOKUP(B20,_data_calc!$A:$A,_data_calc!$B:$B,0)</f>
        <v>953356.25</v>
      </c>
    </row>
    <row r="21" spans="2:3" x14ac:dyDescent="0.3">
      <c r="B21" s="38" t="s">
        <v>250</v>
      </c>
      <c r="C21" s="30">
        <f>_xlfn.XLOOKUP(B21,_data_calc!$A:$A,_data_calc!$B:$B,0)</f>
        <v>973534.09</v>
      </c>
    </row>
    <row r="22" spans="2:3" x14ac:dyDescent="0.3">
      <c r="B22" s="38" t="s">
        <v>251</v>
      </c>
      <c r="C22" s="30">
        <f>_xlfn.XLOOKUP(B22,_data_calc!$A:$A,_data_calc!$B:$B,0)</f>
        <v>977544.69</v>
      </c>
    </row>
    <row r="23" spans="2:3" x14ac:dyDescent="0.3">
      <c r="B23" s="38" t="s">
        <v>252</v>
      </c>
      <c r="C23" s="30">
        <f>_xlfn.XLOOKUP(B23,_data_calc!$A:$A,_data_calc!$B:$B,0)</f>
        <v>856077.86</v>
      </c>
    </row>
    <row r="24" spans="2:3" x14ac:dyDescent="0.3">
      <c r="B24" s="38" t="s">
        <v>253</v>
      </c>
      <c r="C24" s="30">
        <f>_xlfn.XLOOKUP(B24,_data_calc!$A:$A,_data_calc!$B:$B,0)</f>
        <v>867953.46</v>
      </c>
    </row>
    <row r="25" spans="2:3" x14ac:dyDescent="0.3">
      <c r="B25" s="38" t="s">
        <v>254</v>
      </c>
      <c r="C25" s="30">
        <f>_xlfn.XLOOKUP(B25,_data_calc!$A:$A,_data_calc!$B:$B,0)</f>
        <v>838576.64000000001</v>
      </c>
    </row>
  </sheetData>
  <phoneticPr fontId="21" type="noConversion"/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1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2" customWidth="1"/>
    <col min="2" max="2" width="22" customWidth="1"/>
    <col min="3" max="6" width="14" customWidth="1"/>
    <col min="7" max="7" width="18" customWidth="1"/>
    <col min="8" max="8" width="14" customWidth="1"/>
    <col min="9" max="9" width="32" customWidth="1"/>
    <col min="10" max="10" width="2" customWidth="1"/>
  </cols>
  <sheetData>
    <row r="2" spans="2:9" ht="23.5" x14ac:dyDescent="0.3">
      <c r="B2" s="27" t="s">
        <v>255</v>
      </c>
      <c r="C2" s="2"/>
      <c r="D2" s="2"/>
      <c r="E2" s="2"/>
      <c r="F2" s="2"/>
      <c r="G2" s="2"/>
      <c r="H2" s="2"/>
      <c r="I2" s="2"/>
    </row>
    <row r="3" spans="2:9" x14ac:dyDescent="0.3">
      <c r="B3" s="28" t="s">
        <v>256</v>
      </c>
      <c r="C3" s="2"/>
      <c r="D3" s="2"/>
      <c r="E3" s="2"/>
      <c r="F3" s="2"/>
      <c r="G3" s="2"/>
      <c r="H3" s="2"/>
      <c r="I3" s="2"/>
    </row>
    <row r="5" spans="2:9" ht="29" x14ac:dyDescent="0.3">
      <c r="B5" s="10" t="s">
        <v>257</v>
      </c>
      <c r="C5" s="10" t="s">
        <v>258</v>
      </c>
      <c r="D5" s="10" t="s">
        <v>259</v>
      </c>
      <c r="E5" s="10" t="s">
        <v>234</v>
      </c>
      <c r="F5" s="10" t="s">
        <v>260</v>
      </c>
      <c r="G5" s="10" t="s">
        <v>261</v>
      </c>
      <c r="H5" s="10" t="s">
        <v>262</v>
      </c>
      <c r="I5" s="10" t="s">
        <v>263</v>
      </c>
    </row>
    <row r="6" spans="2:9" ht="29" x14ac:dyDescent="0.35">
      <c r="B6" s="24" t="s">
        <v>264</v>
      </c>
      <c r="C6" s="30">
        <f>_xlfn.XLOOKUP(B6,_data_calc!$A:$A,_data_calc!$B:$B,0)</f>
        <v>15151</v>
      </c>
      <c r="D6" s="39">
        <f>_xlfn.XLOOKUP(B6,_data_calc!$A:$A,_data_calc!$C:$C,0)</f>
        <v>0.16200000000000001</v>
      </c>
      <c r="E6" s="30">
        <f>_xlfn.XLOOKUP(B6,_data_calc!$A:$A,_data_calc!$D:$D,0)</f>
        <v>4155457.5</v>
      </c>
      <c r="F6" s="39">
        <f>_xlfn.XLOOKUP(B6,_data_calc!$A:$A,_data_calc!$E:$E,0)</f>
        <v>0.314</v>
      </c>
      <c r="G6" s="41">
        <f>_xlfn.XLOOKUP(B6,_data_calc!$A:$A,_data_calc!$F:$F,0)</f>
        <v>274.3</v>
      </c>
      <c r="H6" s="41">
        <f>_xlfn.XLOOKUP(B6,_data_calc!$A:$A,_data_calc!$G:$G,0)</f>
        <v>90.9</v>
      </c>
      <c r="I6" s="20" t="s">
        <v>265</v>
      </c>
    </row>
    <row r="7" spans="2:9" ht="29" x14ac:dyDescent="0.35">
      <c r="B7" s="24" t="s">
        <v>266</v>
      </c>
      <c r="C7" s="30">
        <f>_xlfn.XLOOKUP(B7,_data_calc!$A:$A,_data_calc!$B:$B,0)</f>
        <v>21975</v>
      </c>
      <c r="D7" s="39">
        <f>_xlfn.XLOOKUP(B7,_data_calc!$A:$A,_data_calc!$C:$C,0)</f>
        <v>0.23499999999999999</v>
      </c>
      <c r="E7" s="30">
        <f>_xlfn.XLOOKUP(B7,_data_calc!$A:$A,_data_calc!$D:$D,0)</f>
        <v>4688537.4000000004</v>
      </c>
      <c r="F7" s="39">
        <f>_xlfn.XLOOKUP(B7,_data_calc!$A:$A,_data_calc!$E:$E,0)</f>
        <v>0.35499999999999998</v>
      </c>
      <c r="G7" s="41">
        <f>_xlfn.XLOOKUP(B7,_data_calc!$A:$A,_data_calc!$F:$F,0)</f>
        <v>213.4</v>
      </c>
      <c r="H7" s="41">
        <f>_xlfn.XLOOKUP(B7,_data_calc!$A:$A,_data_calc!$G:$G,0)</f>
        <v>393.2</v>
      </c>
      <c r="I7" s="20" t="s">
        <v>267</v>
      </c>
    </row>
    <row r="8" spans="2:9" ht="29" x14ac:dyDescent="0.35">
      <c r="B8" s="24" t="s">
        <v>268</v>
      </c>
      <c r="C8" s="30">
        <f>_xlfn.XLOOKUP(B8,_data_calc!$A:$A,_data_calc!$B:$B,0)</f>
        <v>7612</v>
      </c>
      <c r="D8" s="39">
        <f>_xlfn.XLOOKUP(B8,_data_calc!$A:$A,_data_calc!$C:$C,0)</f>
        <v>8.199999999999999E-2</v>
      </c>
      <c r="E8" s="30">
        <f>_xlfn.XLOOKUP(B8,_data_calc!$A:$A,_data_calc!$D:$D,0)</f>
        <v>675660.2</v>
      </c>
      <c r="F8" s="39">
        <f>_xlfn.XLOOKUP(B8,_data_calc!$A:$A,_data_calc!$E:$E,0)</f>
        <v>5.0999999999999997E-2</v>
      </c>
      <c r="G8" s="41">
        <f>_xlfn.XLOOKUP(B8,_data_calc!$A:$A,_data_calc!$F:$F,0)</f>
        <v>88.8</v>
      </c>
      <c r="H8" s="41">
        <f>_xlfn.XLOOKUP(B8,_data_calc!$A:$A,_data_calc!$G:$G,0)</f>
        <v>90.1</v>
      </c>
      <c r="I8" s="20" t="s">
        <v>269</v>
      </c>
    </row>
    <row r="9" spans="2:9" ht="29" x14ac:dyDescent="0.35">
      <c r="B9" s="24" t="s">
        <v>270</v>
      </c>
      <c r="C9" s="30">
        <f>_xlfn.XLOOKUP(B9,_data_calc!$A:$A,_data_calc!$B:$B,0)</f>
        <v>18672</v>
      </c>
      <c r="D9" s="39">
        <f>_xlfn.XLOOKUP(B9,_data_calc!$A:$A,_data_calc!$C:$C,0)</f>
        <v>0.2</v>
      </c>
      <c r="E9" s="30">
        <f>_xlfn.XLOOKUP(B9,_data_calc!$A:$A,_data_calc!$D:$D,0)</f>
        <v>2507492.9</v>
      </c>
      <c r="F9" s="39">
        <f>_xlfn.XLOOKUP(B9,_data_calc!$A:$A,_data_calc!$E:$E,0)</f>
        <v>0.19</v>
      </c>
      <c r="G9" s="41">
        <f>_xlfn.XLOOKUP(B9,_data_calc!$A:$A,_data_calc!$F:$F,0)</f>
        <v>134.30000000000001</v>
      </c>
      <c r="H9" s="41">
        <f>_xlfn.XLOOKUP(B9,_data_calc!$A:$A,_data_calc!$G:$G,0)</f>
        <v>219.4</v>
      </c>
      <c r="I9" s="20" t="s">
        <v>271</v>
      </c>
    </row>
    <row r="10" spans="2:9" ht="29" x14ac:dyDescent="0.35">
      <c r="B10" s="24" t="s">
        <v>272</v>
      </c>
      <c r="C10" s="30">
        <f>_xlfn.XLOOKUP(B10,_data_calc!$A:$A,_data_calc!$B:$B,0)</f>
        <v>14579</v>
      </c>
      <c r="D10" s="39">
        <f>_xlfn.XLOOKUP(B10,_data_calc!$A:$A,_data_calc!$C:$C,0)</f>
        <v>0.156</v>
      </c>
      <c r="E10" s="30">
        <f>_xlfn.XLOOKUP(B10,_data_calc!$A:$A,_data_calc!$D:$D,0)</f>
        <v>576513.30000000005</v>
      </c>
      <c r="F10" s="39">
        <f>_xlfn.XLOOKUP(B10,_data_calc!$A:$A,_data_calc!$E:$E,0)</f>
        <v>4.3999999999999997E-2</v>
      </c>
      <c r="G10" s="41">
        <f>_xlfn.XLOOKUP(B10,_data_calc!$A:$A,_data_calc!$F:$F,0)</f>
        <v>39.5</v>
      </c>
      <c r="H10" s="41">
        <f>_xlfn.XLOOKUP(B10,_data_calc!$A:$A,_data_calc!$G:$G,0)</f>
        <v>88.8</v>
      </c>
      <c r="I10" s="20" t="s">
        <v>273</v>
      </c>
    </row>
    <row r="11" spans="2:9" ht="29" x14ac:dyDescent="0.35">
      <c r="B11" s="24" t="s">
        <v>274</v>
      </c>
      <c r="C11" s="30">
        <f>_xlfn.XLOOKUP(B11,_data_calc!$A:$A,_data_calc!$B:$B,0)</f>
        <v>15369</v>
      </c>
      <c r="D11" s="39">
        <f>_xlfn.XLOOKUP(B11,_data_calc!$A:$A,_data_calc!$C:$C,0)</f>
        <v>0.16500000000000001</v>
      </c>
      <c r="E11" s="30">
        <f>_xlfn.XLOOKUP(B11,_data_calc!$A:$A,_data_calc!$D:$D,0)</f>
        <v>617836.69999999995</v>
      </c>
      <c r="F11" s="39">
        <f>_xlfn.XLOOKUP(B11,_data_calc!$A:$A,_data_calc!$E:$E,0)</f>
        <v>4.7E-2</v>
      </c>
      <c r="G11" s="41">
        <f>_xlfn.XLOOKUP(B11,_data_calc!$A:$A,_data_calc!$F:$F,0)</f>
        <v>40.200000000000003</v>
      </c>
      <c r="H11" s="41">
        <f>_xlfn.XLOOKUP(B11,_data_calc!$A:$A,_data_calc!$G:$G,0)</f>
        <v>395.5</v>
      </c>
      <c r="I11" s="20" t="s">
        <v>275</v>
      </c>
    </row>
  </sheetData>
  <phoneticPr fontId="21" type="noConversion"/>
  <conditionalFormatting sqref="D6:D11">
    <cfRule type="dataBar" priority="1">
      <dataBar>
        <cfvo type="min"/>
        <cfvo type="max"/>
        <color rgb="FF2E8B8B"/>
      </dataBar>
    </cfRule>
  </conditionalFormatting>
  <conditionalFormatting sqref="F6:F11">
    <cfRule type="dataBar" priority="2">
      <dataBar>
        <cfvo type="min"/>
        <cfvo type="max"/>
        <color rgb="FFE07B39"/>
      </dataBar>
    </cfRule>
  </conditionalFormatting>
  <conditionalFormatting sqref="G6:G11">
    <cfRule type="iconSet" priority="3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25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2" customWidth="1"/>
    <col min="2" max="2" width="12" customWidth="1"/>
    <col min="3" max="15" width="8" customWidth="1"/>
  </cols>
  <sheetData>
    <row r="2" spans="2:15" ht="23.5" x14ac:dyDescent="0.3">
      <c r="B2" s="27" t="s">
        <v>276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x14ac:dyDescent="0.3">
      <c r="B3" s="28" t="s">
        <v>277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2:15" x14ac:dyDescent="0.3">
      <c r="B5" s="10" t="s">
        <v>278</v>
      </c>
      <c r="C5" s="10" t="s">
        <v>279</v>
      </c>
      <c r="D5" s="10" t="s">
        <v>280</v>
      </c>
      <c r="E5" s="10" t="s">
        <v>281</v>
      </c>
      <c r="F5" s="10" t="s">
        <v>282</v>
      </c>
      <c r="G5" s="10" t="s">
        <v>283</v>
      </c>
      <c r="H5" s="10" t="s">
        <v>284</v>
      </c>
      <c r="I5" s="10" t="s">
        <v>285</v>
      </c>
      <c r="J5" s="10" t="s">
        <v>286</v>
      </c>
      <c r="K5" s="10" t="s">
        <v>287</v>
      </c>
      <c r="L5" s="10" t="s">
        <v>288</v>
      </c>
      <c r="M5" s="10" t="s">
        <v>289</v>
      </c>
      <c r="N5" s="10" t="s">
        <v>290</v>
      </c>
      <c r="O5" s="10" t="s">
        <v>291</v>
      </c>
    </row>
    <row r="6" spans="2:15" ht="15" x14ac:dyDescent="0.35">
      <c r="B6" s="42" t="s">
        <v>235</v>
      </c>
      <c r="C6" s="43">
        <f>INDEX(_data_calc!$B$92:$N$111,MATCH($B6,_data_calc!$A$92:$A$111,0),MATCH(C$5,_data_calc!$B$91:$N$91,0))</f>
        <v>1</v>
      </c>
      <c r="D6" s="43">
        <f>INDEX(_data_calc!$B$92:$N$111,MATCH($B6,_data_calc!$A$92:$A$111,0),MATCH(D$5,_data_calc!$B$91:$N$91,0))</f>
        <v>2.7894002789400278E-3</v>
      </c>
      <c r="E6" s="43">
        <f>INDEX(_data_calc!$B$92:$N$111,MATCH($B6,_data_calc!$A$92:$A$111,0),MATCH(E$5,_data_calc!$B$91:$N$91,0))</f>
        <v>2.7894002789400278E-3</v>
      </c>
      <c r="F6" s="43">
        <f>INDEX(_data_calc!$B$92:$N$111,MATCH($B6,_data_calc!$A$92:$A$111,0),MATCH(F$5,_data_calc!$B$91:$N$91,0))</f>
        <v>1.3947001394700139E-3</v>
      </c>
      <c r="G6" s="43">
        <f>INDEX(_data_calc!$B$92:$N$111,MATCH($B6,_data_calc!$A$92:$A$111,0),MATCH(G$5,_data_calc!$B$91:$N$91,0))</f>
        <v>4.1841004184100406E-3</v>
      </c>
      <c r="H6" s="43">
        <f>INDEX(_data_calc!$B$92:$N$111,MATCH($B6,_data_calc!$A$92:$A$111,0),MATCH(H$5,_data_calc!$B$91:$N$91,0))</f>
        <v>1.3947001394700139E-3</v>
      </c>
      <c r="I6" s="43">
        <f>INDEX(_data_calc!$B$92:$N$111,MATCH($B6,_data_calc!$A$92:$A$111,0),MATCH(I$5,_data_calc!$B$91:$N$91,0))</f>
        <v>4.1841004184100406E-3</v>
      </c>
      <c r="J6" s="43">
        <f>INDEX(_data_calc!$B$92:$N$111,MATCH($B6,_data_calc!$A$92:$A$111,0),MATCH(J$5,_data_calc!$B$91:$N$91,0))</f>
        <v>1.3947001394700139E-3</v>
      </c>
      <c r="K6" s="43">
        <f>INDEX(_data_calc!$B$92:$N$111,MATCH($B6,_data_calc!$A$92:$A$111,0),MATCH(K$5,_data_calc!$B$91:$N$91,0))</f>
        <v>1.3947001394700139E-3</v>
      </c>
      <c r="L6" s="43">
        <f>INDEX(_data_calc!$B$92:$N$111,MATCH($B6,_data_calc!$A$92:$A$111,0),MATCH(L$5,_data_calc!$B$91:$N$91,0))</f>
        <v>0</v>
      </c>
      <c r="M6" s="43">
        <f>INDEX(_data_calc!$B$92:$N$111,MATCH($B6,_data_calc!$A$92:$A$111,0),MATCH(M$5,_data_calc!$B$91:$N$91,0))</f>
        <v>4.1841004184100406E-3</v>
      </c>
      <c r="N6" s="43">
        <f>INDEX(_data_calc!$B$92:$N$111,MATCH($B6,_data_calc!$A$92:$A$111,0),MATCH(N$5,_data_calc!$B$91:$N$91,0))</f>
        <v>1.3947001394700139E-3</v>
      </c>
      <c r="O6" s="43">
        <f>INDEX(_data_calc!$B$92:$N$111,MATCH($B6,_data_calc!$A$92:$A$111,0),MATCH(O$5,_data_calc!$B$91:$N$91,0))</f>
        <v>6.9735006973500706E-3</v>
      </c>
    </row>
    <row r="7" spans="2:15" ht="15" x14ac:dyDescent="0.35">
      <c r="B7" s="42" t="s">
        <v>236</v>
      </c>
      <c r="C7" s="43">
        <f>INDEX(_data_calc!$B$92:$N$111,MATCH($B7,_data_calc!$A$92:$A$111,0),MATCH(C$5,_data_calc!$B$91:$N$91,0))</f>
        <v>1</v>
      </c>
      <c r="D7" s="43">
        <f>INDEX(_data_calc!$B$92:$N$111,MATCH($B7,_data_calc!$A$92:$A$111,0),MATCH(D$5,_data_calc!$B$91:$N$91,0))</f>
        <v>1.842751842751843E-3</v>
      </c>
      <c r="E7" s="43">
        <f>INDEX(_data_calc!$B$92:$N$111,MATCH($B7,_data_calc!$A$92:$A$111,0),MATCH(E$5,_data_calc!$B$91:$N$91,0))</f>
        <v>3.0712530712530711E-3</v>
      </c>
      <c r="F7" s="43">
        <f>INDEX(_data_calc!$B$92:$N$111,MATCH($B7,_data_calc!$A$92:$A$111,0),MATCH(F$5,_data_calc!$B$91:$N$91,0))</f>
        <v>1.228501228501228E-3</v>
      </c>
      <c r="G7" s="43">
        <f>INDEX(_data_calc!$B$92:$N$111,MATCH($B7,_data_calc!$A$92:$A$111,0),MATCH(G$5,_data_calc!$B$91:$N$91,0))</f>
        <v>4.2997542997542998E-3</v>
      </c>
      <c r="H7" s="43">
        <f>INDEX(_data_calc!$B$92:$N$111,MATCH($B7,_data_calc!$A$92:$A$111,0),MATCH(H$5,_data_calc!$B$91:$N$91,0))</f>
        <v>1.228501228501228E-3</v>
      </c>
      <c r="I7" s="43">
        <f>INDEX(_data_calc!$B$92:$N$111,MATCH($B7,_data_calc!$A$92:$A$111,0),MATCH(I$5,_data_calc!$B$91:$N$91,0))</f>
        <v>2.4570024570024569E-3</v>
      </c>
      <c r="J7" s="43">
        <f>INDEX(_data_calc!$B$92:$N$111,MATCH($B7,_data_calc!$A$92:$A$111,0),MATCH(J$5,_data_calc!$B$91:$N$91,0))</f>
        <v>1.842751842751843E-3</v>
      </c>
      <c r="K7" s="43">
        <f>INDEX(_data_calc!$B$92:$N$111,MATCH($B7,_data_calc!$A$92:$A$111,0),MATCH(K$5,_data_calc!$B$91:$N$91,0))</f>
        <v>1.228501228501228E-3</v>
      </c>
      <c r="L7" s="43">
        <f>INDEX(_data_calc!$B$92:$N$111,MATCH($B7,_data_calc!$A$92:$A$111,0),MATCH(L$5,_data_calc!$B$91:$N$91,0))</f>
        <v>1.842751842751843E-3</v>
      </c>
      <c r="M7" s="43">
        <f>INDEX(_data_calc!$B$92:$N$111,MATCH($B7,_data_calc!$A$92:$A$111,0),MATCH(M$5,_data_calc!$B$91:$N$91,0))</f>
        <v>1.228501228501228E-3</v>
      </c>
      <c r="N7" s="43">
        <f>INDEX(_data_calc!$B$92:$N$111,MATCH($B7,_data_calc!$A$92:$A$111,0),MATCH(N$5,_data_calc!$B$91:$N$91,0))</f>
        <v>3.0712530712530711E-3</v>
      </c>
      <c r="O7" s="43">
        <f>INDEX(_data_calc!$B$92:$N$111,MATCH($B7,_data_calc!$A$92:$A$111,0),MATCH(O$5,_data_calc!$B$91:$N$91,0))</f>
        <v>1.228501228501228E-3</v>
      </c>
    </row>
    <row r="8" spans="2:15" ht="15" x14ac:dyDescent="0.35">
      <c r="B8" s="42" t="s">
        <v>237</v>
      </c>
      <c r="C8" s="43">
        <f>INDEX(_data_calc!$B$92:$N$111,MATCH($B8,_data_calc!$A$92:$A$111,0),MATCH(C$5,_data_calc!$B$91:$N$91,0))</f>
        <v>1</v>
      </c>
      <c r="D8" s="43">
        <f>INDEX(_data_calc!$B$92:$N$111,MATCH($B8,_data_calc!$A$92:$A$111,0),MATCH(D$5,_data_calc!$B$91:$N$91,0))</f>
        <v>4.3947263284059134E-3</v>
      </c>
      <c r="E8" s="43">
        <f>INDEX(_data_calc!$B$92:$N$111,MATCH($B8,_data_calc!$A$92:$A$111,0),MATCH(E$5,_data_calc!$B$91:$N$91,0))</f>
        <v>3.595685177786656E-3</v>
      </c>
      <c r="F8" s="43">
        <f>INDEX(_data_calc!$B$92:$N$111,MATCH($B8,_data_calc!$A$92:$A$111,0),MATCH(F$5,_data_calc!$B$91:$N$91,0))</f>
        <v>3.9952057530962841E-3</v>
      </c>
      <c r="G8" s="43">
        <f>INDEX(_data_calc!$B$92:$N$111,MATCH($B8,_data_calc!$A$92:$A$111,0),MATCH(G$5,_data_calc!$B$91:$N$91,0))</f>
        <v>3.595685177786656E-3</v>
      </c>
      <c r="H8" s="43">
        <f>INDEX(_data_calc!$B$92:$N$111,MATCH($B8,_data_calc!$A$92:$A$111,0),MATCH(H$5,_data_calc!$B$91:$N$91,0))</f>
        <v>1.598082301238514E-3</v>
      </c>
      <c r="I8" s="43">
        <f>INDEX(_data_calc!$B$92:$N$111,MATCH($B8,_data_calc!$A$92:$A$111,0),MATCH(I$5,_data_calc!$B$91:$N$91,0))</f>
        <v>1.598082301238514E-3</v>
      </c>
      <c r="J8" s="43">
        <f>INDEX(_data_calc!$B$92:$N$111,MATCH($B8,_data_calc!$A$92:$A$111,0),MATCH(J$5,_data_calc!$B$91:$N$91,0))</f>
        <v>3.1961646024770279E-3</v>
      </c>
      <c r="K8" s="43">
        <f>INDEX(_data_calc!$B$92:$N$111,MATCH($B8,_data_calc!$A$92:$A$111,0),MATCH(K$5,_data_calc!$B$91:$N$91,0))</f>
        <v>3.1961646024770279E-3</v>
      </c>
      <c r="L8" s="43">
        <f>INDEX(_data_calc!$B$92:$N$111,MATCH($B8,_data_calc!$A$92:$A$111,0),MATCH(L$5,_data_calc!$B$91:$N$91,0))</f>
        <v>7.9904115061925688E-4</v>
      </c>
      <c r="M8" s="43">
        <f>INDEX(_data_calc!$B$92:$N$111,MATCH($B8,_data_calc!$A$92:$A$111,0),MATCH(M$5,_data_calc!$B$91:$N$91,0))</f>
        <v>3.595685177786656E-3</v>
      </c>
      <c r="N8" s="43">
        <f>INDEX(_data_calc!$B$92:$N$111,MATCH($B8,_data_calc!$A$92:$A$111,0),MATCH(N$5,_data_calc!$B$91:$N$91,0))</f>
        <v>1.198561725928885E-3</v>
      </c>
      <c r="O8" s="43">
        <f>INDEX(_data_calc!$B$92:$N$111,MATCH($B8,_data_calc!$A$92:$A$111,0),MATCH(O$5,_data_calc!$B$91:$N$91,0))</f>
        <v>1.997602876548142E-3</v>
      </c>
    </row>
    <row r="9" spans="2:15" ht="15" x14ac:dyDescent="0.35">
      <c r="B9" s="42" t="s">
        <v>238</v>
      </c>
      <c r="C9" s="43">
        <f>INDEX(_data_calc!$B$92:$N$111,MATCH($B9,_data_calc!$A$92:$A$111,0),MATCH(C$5,_data_calc!$B$91:$N$91,0))</f>
        <v>1</v>
      </c>
      <c r="D9" s="43">
        <f>INDEX(_data_calc!$B$92:$N$111,MATCH($B9,_data_calc!$A$92:$A$111,0),MATCH(D$5,_data_calc!$B$91:$N$91,0))</f>
        <v>6.2056737588652494E-3</v>
      </c>
      <c r="E9" s="43">
        <f>INDEX(_data_calc!$B$92:$N$111,MATCH($B9,_data_calc!$A$92:$A$111,0),MATCH(E$5,_data_calc!$B$91:$N$91,0))</f>
        <v>2.2163120567375888E-3</v>
      </c>
      <c r="F9" s="43">
        <f>INDEX(_data_calc!$B$92:$N$111,MATCH($B9,_data_calc!$A$92:$A$111,0),MATCH(F$5,_data_calc!$B$91:$N$91,0))</f>
        <v>1.7730496453900711E-3</v>
      </c>
      <c r="G9" s="43">
        <f>INDEX(_data_calc!$B$92:$N$111,MATCH($B9,_data_calc!$A$92:$A$111,0),MATCH(G$5,_data_calc!$B$91:$N$91,0))</f>
        <v>2.6595744680851059E-3</v>
      </c>
      <c r="H9" s="43">
        <f>INDEX(_data_calc!$B$92:$N$111,MATCH($B9,_data_calc!$A$92:$A$111,0),MATCH(H$5,_data_calc!$B$91:$N$91,0))</f>
        <v>2.6595744680851059E-3</v>
      </c>
      <c r="I9" s="43">
        <f>INDEX(_data_calc!$B$92:$N$111,MATCH($B9,_data_calc!$A$92:$A$111,0),MATCH(I$5,_data_calc!$B$91:$N$91,0))</f>
        <v>3.5460992907801422E-3</v>
      </c>
      <c r="J9" s="43">
        <f>INDEX(_data_calc!$B$92:$N$111,MATCH($B9,_data_calc!$A$92:$A$111,0),MATCH(J$5,_data_calc!$B$91:$N$91,0))</f>
        <v>3.1028368794326238E-3</v>
      </c>
      <c r="K9" s="43">
        <f>INDEX(_data_calc!$B$92:$N$111,MATCH($B9,_data_calc!$A$92:$A$111,0),MATCH(K$5,_data_calc!$B$91:$N$91,0))</f>
        <v>3.1028368794326238E-3</v>
      </c>
      <c r="L9" s="43">
        <f>INDEX(_data_calc!$B$92:$N$111,MATCH($B9,_data_calc!$A$92:$A$111,0),MATCH(L$5,_data_calc!$B$91:$N$91,0))</f>
        <v>1.7730496453900711E-3</v>
      </c>
      <c r="M9" s="43">
        <f>INDEX(_data_calc!$B$92:$N$111,MATCH($B9,_data_calc!$A$92:$A$111,0),MATCH(M$5,_data_calc!$B$91:$N$91,0))</f>
        <v>2.6595744680851059E-3</v>
      </c>
      <c r="N9" s="43">
        <f>INDEX(_data_calc!$B$92:$N$111,MATCH($B9,_data_calc!$A$92:$A$111,0),MATCH(N$5,_data_calc!$B$91:$N$91,0))</f>
        <v>8.8652482269503544E-4</v>
      </c>
      <c r="O9" s="43">
        <f>INDEX(_data_calc!$B$92:$N$111,MATCH($B9,_data_calc!$A$92:$A$111,0),MATCH(O$5,_data_calc!$B$91:$N$91,0))</f>
        <v>4.4326241134751772E-4</v>
      </c>
    </row>
    <row r="10" spans="2:15" ht="15" x14ac:dyDescent="0.35">
      <c r="B10" s="42" t="s">
        <v>239</v>
      </c>
      <c r="C10" s="43">
        <f>INDEX(_data_calc!$B$92:$N$111,MATCH($B10,_data_calc!$A$92:$A$111,0),MATCH(C$5,_data_calc!$B$91:$N$91,0))</f>
        <v>1</v>
      </c>
      <c r="D10" s="43">
        <f>INDEX(_data_calc!$B$92:$N$111,MATCH($B10,_data_calc!$A$92:$A$111,0),MATCH(D$5,_data_calc!$B$91:$N$91,0))</f>
        <v>4.6363372935381052E-3</v>
      </c>
      <c r="E10" s="43">
        <f>INDEX(_data_calc!$B$92:$N$111,MATCH($B10,_data_calc!$A$92:$A$111,0),MATCH(E$5,_data_calc!$B$91:$N$91,0))</f>
        <v>4.6363372935381052E-3</v>
      </c>
      <c r="F10" s="43">
        <f>INDEX(_data_calc!$B$92:$N$111,MATCH($B10,_data_calc!$A$92:$A$111,0),MATCH(F$5,_data_calc!$B$91:$N$91,0))</f>
        <v>2.8977108084613161E-3</v>
      </c>
      <c r="G10" s="43">
        <f>INDEX(_data_calc!$B$92:$N$111,MATCH($B10,_data_calc!$A$92:$A$111,0),MATCH(G$5,_data_calc!$B$91:$N$91,0))</f>
        <v>2.8977108084613161E-3</v>
      </c>
      <c r="H10" s="43">
        <f>INDEX(_data_calc!$B$92:$N$111,MATCH($B10,_data_calc!$A$92:$A$111,0),MATCH(H$5,_data_calc!$B$91:$N$91,0))</f>
        <v>3.1874818893074469E-3</v>
      </c>
      <c r="I10" s="43">
        <f>INDEX(_data_calc!$B$92:$N$111,MATCH($B10,_data_calc!$A$92:$A$111,0),MATCH(I$5,_data_calc!$B$91:$N$91,0))</f>
        <v>4.0567951318458417E-3</v>
      </c>
      <c r="J10" s="43">
        <f>INDEX(_data_calc!$B$92:$N$111,MATCH($B10,_data_calc!$A$92:$A$111,0),MATCH(J$5,_data_calc!$B$91:$N$91,0))</f>
        <v>1.448855404230658E-3</v>
      </c>
      <c r="K10" s="43">
        <f>INDEX(_data_calc!$B$92:$N$111,MATCH($B10,_data_calc!$A$92:$A$111,0),MATCH(K$5,_data_calc!$B$91:$N$91,0))</f>
        <v>2.6079397276151839E-3</v>
      </c>
      <c r="L10" s="43">
        <f>INDEX(_data_calc!$B$92:$N$111,MATCH($B10,_data_calc!$A$92:$A$111,0),MATCH(L$5,_data_calc!$B$91:$N$91,0))</f>
        <v>2.6079397276151839E-3</v>
      </c>
      <c r="M10" s="43">
        <f>INDEX(_data_calc!$B$92:$N$111,MATCH($B10,_data_calc!$A$92:$A$111,0),MATCH(M$5,_data_calc!$B$91:$N$91,0))</f>
        <v>2.6079397276151839E-3</v>
      </c>
      <c r="N10" s="43">
        <f>INDEX(_data_calc!$B$92:$N$111,MATCH($B10,_data_calc!$A$92:$A$111,0),MATCH(N$5,_data_calc!$B$91:$N$91,0))</f>
        <v>3.4772529701535791E-3</v>
      </c>
      <c r="O10" s="43">
        <f>INDEX(_data_calc!$B$92:$N$111,MATCH($B10,_data_calc!$A$92:$A$111,0),MATCH(O$5,_data_calc!$B$91:$N$91,0))</f>
        <v>2.318168646769053E-3</v>
      </c>
    </row>
    <row r="11" spans="2:15" ht="15" x14ac:dyDescent="0.35">
      <c r="B11" s="42" t="s">
        <v>240</v>
      </c>
      <c r="C11" s="43">
        <f>INDEX(_data_calc!$B$92:$N$111,MATCH($B11,_data_calc!$A$92:$A$111,0),MATCH(C$5,_data_calc!$B$91:$N$91,0))</f>
        <v>1</v>
      </c>
      <c r="D11" s="43">
        <f>INDEX(_data_calc!$B$92:$N$111,MATCH($B11,_data_calc!$A$92:$A$111,0),MATCH(D$5,_data_calc!$B$91:$N$91,0))</f>
        <v>4.9390846229832074E-3</v>
      </c>
      <c r="E11" s="43">
        <f>INDEX(_data_calc!$B$92:$N$111,MATCH($B11,_data_calc!$A$92:$A$111,0),MATCH(E$5,_data_calc!$B$91:$N$91,0))</f>
        <v>3.9512676983865661E-3</v>
      </c>
      <c r="F11" s="43">
        <f>INDEX(_data_calc!$B$92:$N$111,MATCH($B11,_data_calc!$A$92:$A$111,0),MATCH(F$5,_data_calc!$B$91:$N$91,0))</f>
        <v>4.2805400065854459E-3</v>
      </c>
      <c r="G11" s="43">
        <f>INDEX(_data_calc!$B$92:$N$111,MATCH($B11,_data_calc!$A$92:$A$111,0),MATCH(G$5,_data_calc!$B$91:$N$91,0))</f>
        <v>2.9634507737899252E-3</v>
      </c>
      <c r="H11" s="43">
        <f>INDEX(_data_calc!$B$92:$N$111,MATCH($B11,_data_calc!$A$92:$A$111,0),MATCH(H$5,_data_calc!$B$91:$N$91,0))</f>
        <v>3.9512676983865661E-3</v>
      </c>
      <c r="I11" s="43">
        <f>INDEX(_data_calc!$B$92:$N$111,MATCH($B11,_data_calc!$A$92:$A$111,0),MATCH(I$5,_data_calc!$B$91:$N$91,0))</f>
        <v>3.6219953901876849E-3</v>
      </c>
      <c r="J11" s="43">
        <f>INDEX(_data_calc!$B$92:$N$111,MATCH($B11,_data_calc!$A$92:$A$111,0),MATCH(J$5,_data_calc!$B$91:$N$91,0))</f>
        <v>2.3049061573921629E-3</v>
      </c>
      <c r="K11" s="43">
        <f>INDEX(_data_calc!$B$92:$N$111,MATCH($B11,_data_calc!$A$92:$A$111,0),MATCH(K$5,_data_calc!$B$91:$N$91,0))</f>
        <v>1.317089232795522E-3</v>
      </c>
      <c r="L11" s="43">
        <f>INDEX(_data_calc!$B$92:$N$111,MATCH($B11,_data_calc!$A$92:$A$111,0),MATCH(L$5,_data_calc!$B$91:$N$91,0))</f>
        <v>1.975633849193283E-3</v>
      </c>
      <c r="M11" s="43">
        <f>INDEX(_data_calc!$B$92:$N$111,MATCH($B11,_data_calc!$A$92:$A$111,0),MATCH(M$5,_data_calc!$B$91:$N$91,0))</f>
        <v>2.9634507737899252E-3</v>
      </c>
      <c r="N11" s="43">
        <f>INDEX(_data_calc!$B$92:$N$111,MATCH($B11,_data_calc!$A$92:$A$111,0),MATCH(N$5,_data_calc!$B$91:$N$91,0))</f>
        <v>3.6219953901876849E-3</v>
      </c>
      <c r="O11" s="43">
        <f>INDEX(_data_calc!$B$92:$N$111,MATCH($B11,_data_calc!$A$92:$A$111,0),MATCH(O$5,_data_calc!$B$91:$N$91,0))</f>
        <v>1.6463615409944021E-3</v>
      </c>
    </row>
    <row r="12" spans="2:15" ht="15" x14ac:dyDescent="0.35">
      <c r="B12" s="42" t="s">
        <v>241</v>
      </c>
      <c r="C12" s="43">
        <f>INDEX(_data_calc!$B$92:$N$111,MATCH($B12,_data_calc!$A$92:$A$111,0),MATCH(C$5,_data_calc!$B$91:$N$91,0))</f>
        <v>1</v>
      </c>
      <c r="D12" s="43">
        <f>INDEX(_data_calc!$B$92:$N$111,MATCH($B12,_data_calc!$A$92:$A$111,0),MATCH(D$5,_data_calc!$B$91:$N$91,0))</f>
        <v>5.3304904051172707E-3</v>
      </c>
      <c r="E12" s="43">
        <f>INDEX(_data_calc!$B$92:$N$111,MATCH($B12,_data_calc!$A$92:$A$111,0),MATCH(E$5,_data_calc!$B$91:$N$91,0))</f>
        <v>3.4648187633262262E-3</v>
      </c>
      <c r="F12" s="43">
        <f>INDEX(_data_calc!$B$92:$N$111,MATCH($B12,_data_calc!$A$92:$A$111,0),MATCH(F$5,_data_calc!$B$91:$N$91,0))</f>
        <v>2.398720682302772E-3</v>
      </c>
      <c r="G12" s="43">
        <f>INDEX(_data_calc!$B$92:$N$111,MATCH($B12,_data_calc!$A$92:$A$111,0),MATCH(G$5,_data_calc!$B$91:$N$91,0))</f>
        <v>2.9317697228144991E-3</v>
      </c>
      <c r="H12" s="43">
        <f>INDEX(_data_calc!$B$92:$N$111,MATCH($B12,_data_calc!$A$92:$A$111,0),MATCH(H$5,_data_calc!$B$91:$N$91,0))</f>
        <v>2.1321961620469078E-3</v>
      </c>
      <c r="I12" s="43">
        <f>INDEX(_data_calc!$B$92:$N$111,MATCH($B12,_data_calc!$A$92:$A$111,0),MATCH(I$5,_data_calc!$B$91:$N$91,0))</f>
        <v>3.198294243070362E-3</v>
      </c>
      <c r="J12" s="43">
        <f>INDEX(_data_calc!$B$92:$N$111,MATCH($B12,_data_calc!$A$92:$A$111,0),MATCH(J$5,_data_calc!$B$91:$N$91,0))</f>
        <v>1.0660980810234539E-3</v>
      </c>
      <c r="K12" s="43">
        <f>INDEX(_data_calc!$B$92:$N$111,MATCH($B12,_data_calc!$A$92:$A$111,0),MATCH(K$5,_data_calc!$B$91:$N$91,0))</f>
        <v>1.865671641791045E-3</v>
      </c>
      <c r="L12" s="43">
        <f>INDEX(_data_calc!$B$92:$N$111,MATCH($B12,_data_calc!$A$92:$A$111,0),MATCH(L$5,_data_calc!$B$91:$N$91,0))</f>
        <v>2.6652452025586349E-3</v>
      </c>
      <c r="M12" s="43">
        <f>INDEX(_data_calc!$B$92:$N$111,MATCH($B12,_data_calc!$A$92:$A$111,0),MATCH(M$5,_data_calc!$B$91:$N$91,0))</f>
        <v>2.1321961620469078E-3</v>
      </c>
      <c r="N12" s="43">
        <f>INDEX(_data_calc!$B$92:$N$111,MATCH($B12,_data_calc!$A$92:$A$111,0),MATCH(N$5,_data_calc!$B$91:$N$91,0))</f>
        <v>2.9317697228144991E-3</v>
      </c>
      <c r="O12" s="43">
        <f>INDEX(_data_calc!$B$92:$N$111,MATCH($B12,_data_calc!$A$92:$A$111,0),MATCH(O$5,_data_calc!$B$91:$N$91,0))</f>
        <v>1.3326226012793181E-3</v>
      </c>
    </row>
    <row r="13" spans="2:15" ht="15" x14ac:dyDescent="0.35">
      <c r="B13" s="42" t="s">
        <v>242</v>
      </c>
      <c r="C13" s="43">
        <f>INDEX(_data_calc!$B$92:$N$111,MATCH($B13,_data_calc!$A$92:$A$111,0),MATCH(C$5,_data_calc!$B$91:$N$91,0))</f>
        <v>1</v>
      </c>
      <c r="D13" s="43">
        <f>INDEX(_data_calc!$B$92:$N$111,MATCH($B13,_data_calc!$A$92:$A$111,0),MATCH(D$5,_data_calc!$B$91:$N$91,0))</f>
        <v>6.9016514666009367E-3</v>
      </c>
      <c r="E13" s="43">
        <f>INDEX(_data_calc!$B$92:$N$111,MATCH($B13,_data_calc!$A$92:$A$111,0),MATCH(E$5,_data_calc!$B$91:$N$91,0))</f>
        <v>3.4508257333004679E-3</v>
      </c>
      <c r="F13" s="43">
        <f>INDEX(_data_calc!$B$92:$N$111,MATCH($B13,_data_calc!$A$92:$A$111,0),MATCH(F$5,_data_calc!$B$91:$N$91,0))</f>
        <v>2.7113630761646541E-3</v>
      </c>
      <c r="G13" s="43">
        <f>INDEX(_data_calc!$B$92:$N$111,MATCH($B13,_data_calc!$A$92:$A$111,0),MATCH(G$5,_data_calc!$B$91:$N$91,0))</f>
        <v>3.4508257333004679E-3</v>
      </c>
      <c r="H13" s="43">
        <f>INDEX(_data_calc!$B$92:$N$111,MATCH($B13,_data_calc!$A$92:$A$111,0),MATCH(H$5,_data_calc!$B$91:$N$91,0))</f>
        <v>5.1762385999507034E-3</v>
      </c>
      <c r="I13" s="43">
        <f>INDEX(_data_calc!$B$92:$N$111,MATCH($B13,_data_calc!$A$92:$A$111,0),MATCH(I$5,_data_calc!$B$91:$N$91,0))</f>
        <v>2.957850628543258E-3</v>
      </c>
      <c r="J13" s="43">
        <f>INDEX(_data_calc!$B$92:$N$111,MATCH($B13,_data_calc!$A$92:$A$111,0),MATCH(J$5,_data_calc!$B$91:$N$91,0))</f>
        <v>2.7113630761646541E-3</v>
      </c>
      <c r="K13" s="43">
        <f>INDEX(_data_calc!$B$92:$N$111,MATCH($B13,_data_calc!$A$92:$A$111,0),MATCH(K$5,_data_calc!$B$91:$N$91,0))</f>
        <v>1.478925314271629E-3</v>
      </c>
      <c r="L13" s="43">
        <f>INDEX(_data_calc!$B$92:$N$111,MATCH($B13,_data_calc!$A$92:$A$111,0),MATCH(L$5,_data_calc!$B$91:$N$91,0))</f>
        <v>1.478925314271629E-3</v>
      </c>
      <c r="M13" s="43">
        <f>INDEX(_data_calc!$B$92:$N$111,MATCH($B13,_data_calc!$A$92:$A$111,0),MATCH(M$5,_data_calc!$B$91:$N$91,0))</f>
        <v>2.4648755237860489E-3</v>
      </c>
      <c r="N13" s="43">
        <f>INDEX(_data_calc!$B$92:$N$111,MATCH($B13,_data_calc!$A$92:$A$111,0),MATCH(N$5,_data_calc!$B$91:$N$91,0))</f>
        <v>1.9719004190288389E-3</v>
      </c>
      <c r="O13" s="43">
        <f>INDEX(_data_calc!$B$92:$N$111,MATCH($B13,_data_calc!$A$92:$A$111,0),MATCH(O$5,_data_calc!$B$91:$N$91,0))</f>
        <v>1.232437761893024E-3</v>
      </c>
    </row>
    <row r="14" spans="2:15" ht="15" x14ac:dyDescent="0.35">
      <c r="B14" s="42" t="s">
        <v>243</v>
      </c>
      <c r="C14" s="43">
        <f>INDEX(_data_calc!$B$92:$N$111,MATCH($B14,_data_calc!$A$92:$A$111,0),MATCH(C$5,_data_calc!$B$91:$N$91,0))</f>
        <v>1</v>
      </c>
      <c r="D14" s="43">
        <f>INDEX(_data_calc!$B$92:$N$111,MATCH($B14,_data_calc!$A$92:$A$111,0),MATCH(D$5,_data_calc!$B$91:$N$91,0))</f>
        <v>6.993006993006993E-3</v>
      </c>
      <c r="E14" s="43">
        <f>INDEX(_data_calc!$B$92:$N$111,MATCH($B14,_data_calc!$A$92:$A$111,0),MATCH(E$5,_data_calc!$B$91:$N$91,0))</f>
        <v>5.4945054945054949E-3</v>
      </c>
      <c r="F14" s="43">
        <f>INDEX(_data_calc!$B$92:$N$111,MATCH($B14,_data_calc!$A$92:$A$111,0),MATCH(F$5,_data_calc!$B$91:$N$91,0))</f>
        <v>2.747252747252747E-3</v>
      </c>
      <c r="G14" s="43">
        <f>INDEX(_data_calc!$B$92:$N$111,MATCH($B14,_data_calc!$A$92:$A$111,0),MATCH(G$5,_data_calc!$B$91:$N$91,0))</f>
        <v>4.4955044955044959E-3</v>
      </c>
      <c r="H14" s="43">
        <f>INDEX(_data_calc!$B$92:$N$111,MATCH($B14,_data_calc!$A$92:$A$111,0),MATCH(H$5,_data_calc!$B$91:$N$91,0))</f>
        <v>2.247752247752248E-3</v>
      </c>
      <c r="I14" s="43">
        <f>INDEX(_data_calc!$B$92:$N$111,MATCH($B14,_data_calc!$A$92:$A$111,0),MATCH(I$5,_data_calc!$B$91:$N$91,0))</f>
        <v>2.247752247752248E-3</v>
      </c>
      <c r="J14" s="43">
        <f>INDEX(_data_calc!$B$92:$N$111,MATCH($B14,_data_calc!$A$92:$A$111,0),MATCH(J$5,_data_calc!$B$91:$N$91,0))</f>
        <v>2.4975024975024979E-3</v>
      </c>
      <c r="K14" s="43">
        <f>INDEX(_data_calc!$B$92:$N$111,MATCH($B14,_data_calc!$A$92:$A$111,0),MATCH(K$5,_data_calc!$B$91:$N$91,0))</f>
        <v>2.747252747252747E-3</v>
      </c>
      <c r="L14" s="43">
        <f>INDEX(_data_calc!$B$92:$N$111,MATCH($B14,_data_calc!$A$92:$A$111,0),MATCH(L$5,_data_calc!$B$91:$N$91,0))</f>
        <v>1.748251748251748E-3</v>
      </c>
      <c r="M14" s="43">
        <f>INDEX(_data_calc!$B$92:$N$111,MATCH($B14,_data_calc!$A$92:$A$111,0),MATCH(M$5,_data_calc!$B$91:$N$91,0))</f>
        <v>2.4975024975024979E-3</v>
      </c>
      <c r="N14" s="43">
        <f>INDEX(_data_calc!$B$92:$N$111,MATCH($B14,_data_calc!$A$92:$A$111,0),MATCH(N$5,_data_calc!$B$91:$N$91,0))</f>
        <v>7.4925074925074925E-4</v>
      </c>
      <c r="O14" s="43">
        <f>INDEX(_data_calc!$B$92:$N$111,MATCH($B14,_data_calc!$A$92:$A$111,0),MATCH(O$5,_data_calc!$B$91:$N$91,0))</f>
        <v>0</v>
      </c>
    </row>
    <row r="15" spans="2:15" ht="15" x14ac:dyDescent="0.35">
      <c r="B15" s="42" t="s">
        <v>244</v>
      </c>
      <c r="C15" s="43">
        <f>INDEX(_data_calc!$B$92:$N$111,MATCH($B15,_data_calc!$A$92:$A$111,0),MATCH(C$5,_data_calc!$B$91:$N$91,0))</f>
        <v>1</v>
      </c>
      <c r="D15" s="43">
        <f>INDEX(_data_calc!$B$92:$N$111,MATCH($B15,_data_calc!$A$92:$A$111,0),MATCH(D$5,_data_calc!$B$91:$N$91,0))</f>
        <v>7.1626617375231049E-3</v>
      </c>
      <c r="E15" s="43">
        <f>INDEX(_data_calc!$B$92:$N$111,MATCH($B15,_data_calc!$A$92:$A$111,0),MATCH(E$5,_data_calc!$B$91:$N$91,0))</f>
        <v>2.5415896487985209E-3</v>
      </c>
      <c r="F15" s="43">
        <f>INDEX(_data_calc!$B$92:$N$111,MATCH($B15,_data_calc!$A$92:$A$111,0),MATCH(F$5,_data_calc!$B$91:$N$91,0))</f>
        <v>9.2421441774491681E-4</v>
      </c>
      <c r="G15" s="43">
        <f>INDEX(_data_calc!$B$92:$N$111,MATCH($B15,_data_calc!$A$92:$A$111,0),MATCH(G$5,_data_calc!$B$91:$N$91,0))</f>
        <v>2.3105360443622918E-3</v>
      </c>
      <c r="H15" s="43">
        <f>INDEX(_data_calc!$B$92:$N$111,MATCH($B15,_data_calc!$A$92:$A$111,0),MATCH(H$5,_data_calc!$B$91:$N$91,0))</f>
        <v>2.0794824399260631E-3</v>
      </c>
      <c r="I15" s="43">
        <f>INDEX(_data_calc!$B$92:$N$111,MATCH($B15,_data_calc!$A$92:$A$111,0),MATCH(I$5,_data_calc!$B$91:$N$91,0))</f>
        <v>2.0794824399260631E-3</v>
      </c>
      <c r="J15" s="43">
        <f>INDEX(_data_calc!$B$92:$N$111,MATCH($B15,_data_calc!$A$92:$A$111,0),MATCH(J$5,_data_calc!$B$91:$N$91,0))</f>
        <v>3.6968576709796668E-3</v>
      </c>
      <c r="K15" s="43">
        <f>INDEX(_data_calc!$B$92:$N$111,MATCH($B15,_data_calc!$A$92:$A$111,0),MATCH(K$5,_data_calc!$B$91:$N$91,0))</f>
        <v>2.77264325323475E-3</v>
      </c>
      <c r="L15" s="43">
        <f>INDEX(_data_calc!$B$92:$N$111,MATCH($B15,_data_calc!$A$92:$A$111,0),MATCH(L$5,_data_calc!$B$91:$N$91,0))</f>
        <v>1.8484288354898341E-3</v>
      </c>
      <c r="M15" s="43">
        <f>INDEX(_data_calc!$B$92:$N$111,MATCH($B15,_data_calc!$A$92:$A$111,0),MATCH(M$5,_data_calc!$B$91:$N$91,0))</f>
        <v>2.0794824399260631E-3</v>
      </c>
      <c r="N15" s="43">
        <f>INDEX(_data_calc!$B$92:$N$111,MATCH($B15,_data_calc!$A$92:$A$111,0),MATCH(N$5,_data_calc!$B$91:$N$91,0))</f>
        <v>0</v>
      </c>
      <c r="O15" s="43">
        <f>INDEX(_data_calc!$B$92:$N$111,MATCH($B15,_data_calc!$A$92:$A$111,0),MATCH(O$5,_data_calc!$B$91:$N$91,0))</f>
        <v>0</v>
      </c>
    </row>
    <row r="16" spans="2:15" ht="15" x14ac:dyDescent="0.35">
      <c r="B16" s="42" t="s">
        <v>245</v>
      </c>
      <c r="C16" s="43">
        <f>INDEX(_data_calc!$B$92:$N$111,MATCH($B16,_data_calc!$A$92:$A$111,0),MATCH(C$5,_data_calc!$B$91:$N$91,0))</f>
        <v>1</v>
      </c>
      <c r="D16" s="43">
        <f>INDEX(_data_calc!$B$92:$N$111,MATCH($B16,_data_calc!$A$92:$A$111,0),MATCH(D$5,_data_calc!$B$91:$N$91,0))</f>
        <v>5.6657223796033997E-3</v>
      </c>
      <c r="E16" s="43">
        <f>INDEX(_data_calc!$B$92:$N$111,MATCH($B16,_data_calc!$A$92:$A$111,0),MATCH(E$5,_data_calc!$B$91:$N$91,0))</f>
        <v>3.6827195467422102E-3</v>
      </c>
      <c r="F16" s="43">
        <f>INDEX(_data_calc!$B$92:$N$111,MATCH($B16,_data_calc!$A$92:$A$111,0),MATCH(F$5,_data_calc!$B$91:$N$91,0))</f>
        <v>1.69971671388102E-3</v>
      </c>
      <c r="G16" s="43">
        <f>INDEX(_data_calc!$B$92:$N$111,MATCH($B16,_data_calc!$A$92:$A$111,0),MATCH(G$5,_data_calc!$B$91:$N$91,0))</f>
        <v>1.69971671388102E-3</v>
      </c>
      <c r="H16" s="43">
        <f>INDEX(_data_calc!$B$92:$N$111,MATCH($B16,_data_calc!$A$92:$A$111,0),MATCH(H$5,_data_calc!$B$91:$N$91,0))</f>
        <v>1.8413597733711051E-3</v>
      </c>
      <c r="I16" s="43">
        <f>INDEX(_data_calc!$B$92:$N$111,MATCH($B16,_data_calc!$A$92:$A$111,0),MATCH(I$5,_data_calc!$B$91:$N$91,0))</f>
        <v>1.13314447592068E-3</v>
      </c>
      <c r="J16" s="43">
        <f>INDEX(_data_calc!$B$92:$N$111,MATCH($B16,_data_calc!$A$92:$A$111,0),MATCH(J$5,_data_calc!$B$91:$N$91,0))</f>
        <v>1.8413597733711051E-3</v>
      </c>
      <c r="K16" s="43">
        <f>INDEX(_data_calc!$B$92:$N$111,MATCH($B16,_data_calc!$A$92:$A$111,0),MATCH(K$5,_data_calc!$B$91:$N$91,0))</f>
        <v>1.2747875354107651E-3</v>
      </c>
      <c r="L16" s="43">
        <f>INDEX(_data_calc!$B$92:$N$111,MATCH($B16,_data_calc!$A$92:$A$111,0),MATCH(L$5,_data_calc!$B$91:$N$91,0))</f>
        <v>5.6657223796033991E-4</v>
      </c>
      <c r="M16" s="43">
        <f>INDEX(_data_calc!$B$92:$N$111,MATCH($B16,_data_calc!$A$92:$A$111,0),MATCH(M$5,_data_calc!$B$91:$N$91,0))</f>
        <v>0</v>
      </c>
      <c r="N16" s="43">
        <f>INDEX(_data_calc!$B$92:$N$111,MATCH($B16,_data_calc!$A$92:$A$111,0),MATCH(N$5,_data_calc!$B$91:$N$91,0))</f>
        <v>0</v>
      </c>
      <c r="O16" s="43">
        <f>INDEX(_data_calc!$B$92:$N$111,MATCH($B16,_data_calc!$A$92:$A$111,0),MATCH(O$5,_data_calc!$B$91:$N$91,0))</f>
        <v>0</v>
      </c>
    </row>
    <row r="17" spans="2:15" ht="15" x14ac:dyDescent="0.35">
      <c r="B17" s="42" t="s">
        <v>246</v>
      </c>
      <c r="C17" s="43">
        <f>INDEX(_data_calc!$B$92:$N$111,MATCH($B17,_data_calc!$A$92:$A$111,0),MATCH(C$5,_data_calc!$B$91:$N$91,0))</f>
        <v>1</v>
      </c>
      <c r="D17" s="43">
        <f>INDEX(_data_calc!$B$92:$N$111,MATCH($B17,_data_calc!$A$92:$A$111,0),MATCH(D$5,_data_calc!$B$91:$N$91,0))</f>
        <v>2.060696890221056E-3</v>
      </c>
      <c r="E17" s="43">
        <f>INDEX(_data_calc!$B$92:$N$111,MATCH($B17,_data_calc!$A$92:$A$111,0),MATCH(E$5,_data_calc!$B$91:$N$91,0))</f>
        <v>2.8100412139378042E-3</v>
      </c>
      <c r="F17" s="43">
        <f>INDEX(_data_calc!$B$92:$N$111,MATCH($B17,_data_calc!$A$92:$A$111,0),MATCH(F$5,_data_calc!$B$91:$N$91,0))</f>
        <v>3.3720494567253648E-3</v>
      </c>
      <c r="G17" s="43">
        <f>INDEX(_data_calc!$B$92:$N$111,MATCH($B17,_data_calc!$A$92:$A$111,0),MATCH(G$5,_data_calc!$B$91:$N$91,0))</f>
        <v>2.6227051330086171E-3</v>
      </c>
      <c r="H17" s="43">
        <f>INDEX(_data_calc!$B$92:$N$111,MATCH($B17,_data_calc!$A$92:$A$111,0),MATCH(H$5,_data_calc!$B$91:$N$91,0))</f>
        <v>2.060696890221056E-3</v>
      </c>
      <c r="I17" s="43">
        <f>INDEX(_data_calc!$B$92:$N$111,MATCH($B17,_data_calc!$A$92:$A$111,0),MATCH(I$5,_data_calc!$B$91:$N$91,0))</f>
        <v>1.686024728362683E-3</v>
      </c>
      <c r="J17" s="43">
        <f>INDEX(_data_calc!$B$92:$N$111,MATCH($B17,_data_calc!$A$92:$A$111,0),MATCH(J$5,_data_calc!$B$91:$N$91,0))</f>
        <v>1.8733608092918699E-4</v>
      </c>
      <c r="K17" s="43">
        <f>INDEX(_data_calc!$B$92:$N$111,MATCH($B17,_data_calc!$A$92:$A$111,0),MATCH(K$5,_data_calc!$B$91:$N$91,0))</f>
        <v>1.87336080929187E-3</v>
      </c>
      <c r="L17" s="43">
        <f>INDEX(_data_calc!$B$92:$N$111,MATCH($B17,_data_calc!$A$92:$A$111,0),MATCH(L$5,_data_calc!$B$91:$N$91,0))</f>
        <v>0</v>
      </c>
      <c r="M17" s="43">
        <f>INDEX(_data_calc!$B$92:$N$111,MATCH($B17,_data_calc!$A$92:$A$111,0),MATCH(M$5,_data_calc!$B$91:$N$91,0))</f>
        <v>0</v>
      </c>
      <c r="N17" s="43">
        <f>INDEX(_data_calc!$B$92:$N$111,MATCH($B17,_data_calc!$A$92:$A$111,0),MATCH(N$5,_data_calc!$B$91:$N$91,0))</f>
        <v>0</v>
      </c>
      <c r="O17" s="43">
        <f>INDEX(_data_calc!$B$92:$N$111,MATCH($B17,_data_calc!$A$92:$A$111,0),MATCH(O$5,_data_calc!$B$91:$N$91,0))</f>
        <v>0</v>
      </c>
    </row>
    <row r="18" spans="2:15" ht="15" x14ac:dyDescent="0.35">
      <c r="B18" s="42" t="s">
        <v>247</v>
      </c>
      <c r="C18" s="43">
        <f>INDEX(_data_calc!$B$92:$N$111,MATCH($B18,_data_calc!$A$92:$A$111,0),MATCH(C$5,_data_calc!$B$91:$N$91,0))</f>
        <v>1</v>
      </c>
      <c r="D18" s="43">
        <f>INDEX(_data_calc!$B$92:$N$111,MATCH($B18,_data_calc!$A$92:$A$111,0),MATCH(D$5,_data_calc!$B$91:$N$91,0))</f>
        <v>3.3615901783104361E-3</v>
      </c>
      <c r="E18" s="43">
        <f>INDEX(_data_calc!$B$92:$N$111,MATCH($B18,_data_calc!$A$92:$A$111,0),MATCH(E$5,_data_calc!$B$91:$N$91,0))</f>
        <v>3.6539023677287339E-3</v>
      </c>
      <c r="F18" s="43">
        <f>INDEX(_data_calc!$B$92:$N$111,MATCH($B18,_data_calc!$A$92:$A$111,0),MATCH(F$5,_data_calc!$B$91:$N$91,0))</f>
        <v>2.9231218941829871E-3</v>
      </c>
      <c r="G18" s="43">
        <f>INDEX(_data_calc!$B$92:$N$111,MATCH($B18,_data_calc!$A$92:$A$111,0),MATCH(G$5,_data_calc!$B$91:$N$91,0))</f>
        <v>2.9231218941829871E-3</v>
      </c>
      <c r="H18" s="43">
        <f>INDEX(_data_calc!$B$92:$N$111,MATCH($B18,_data_calc!$A$92:$A$111,0),MATCH(H$5,_data_calc!$B$91:$N$91,0))</f>
        <v>1.6077170418006431E-3</v>
      </c>
      <c r="I18" s="43">
        <f>INDEX(_data_calc!$B$92:$N$111,MATCH($B18,_data_calc!$A$92:$A$111,0),MATCH(I$5,_data_calc!$B$91:$N$91,0))</f>
        <v>1.7538731365097919E-3</v>
      </c>
      <c r="J18" s="43">
        <f>INDEX(_data_calc!$B$92:$N$111,MATCH($B18,_data_calc!$A$92:$A$111,0),MATCH(J$5,_data_calc!$B$91:$N$91,0))</f>
        <v>2.3384975153463898E-3</v>
      </c>
      <c r="K18" s="43">
        <f>INDEX(_data_calc!$B$92:$N$111,MATCH($B18,_data_calc!$A$92:$A$111,0),MATCH(K$5,_data_calc!$B$91:$N$91,0))</f>
        <v>0</v>
      </c>
      <c r="L18" s="43">
        <f>INDEX(_data_calc!$B$92:$N$111,MATCH($B18,_data_calc!$A$92:$A$111,0),MATCH(L$5,_data_calc!$B$91:$N$91,0))</f>
        <v>0</v>
      </c>
      <c r="M18" s="43">
        <f>INDEX(_data_calc!$B$92:$N$111,MATCH($B18,_data_calc!$A$92:$A$111,0),MATCH(M$5,_data_calc!$B$91:$N$91,0))</f>
        <v>0</v>
      </c>
      <c r="N18" s="43">
        <f>INDEX(_data_calc!$B$92:$N$111,MATCH($B18,_data_calc!$A$92:$A$111,0),MATCH(N$5,_data_calc!$B$91:$N$91,0))</f>
        <v>0</v>
      </c>
      <c r="O18" s="43">
        <f>INDEX(_data_calc!$B$92:$N$111,MATCH($B18,_data_calc!$A$92:$A$111,0),MATCH(O$5,_data_calc!$B$91:$N$91,0))</f>
        <v>0</v>
      </c>
    </row>
    <row r="19" spans="2:15" ht="15" x14ac:dyDescent="0.35">
      <c r="B19" s="42" t="s">
        <v>248</v>
      </c>
      <c r="C19" s="43">
        <f>INDEX(_data_calc!$B$92:$N$111,MATCH($B19,_data_calc!$A$92:$A$111,0),MATCH(C$5,_data_calc!$B$91:$N$91,0))</f>
        <v>1</v>
      </c>
      <c r="D19" s="43">
        <f>INDEX(_data_calc!$B$92:$N$111,MATCH($B19,_data_calc!$A$92:$A$111,0),MATCH(D$5,_data_calc!$B$91:$N$91,0))</f>
        <v>3.4987277353689568E-3</v>
      </c>
      <c r="E19" s="43">
        <f>INDEX(_data_calc!$B$92:$N$111,MATCH($B19,_data_calc!$A$92:$A$111,0),MATCH(E$5,_data_calc!$B$91:$N$91,0))</f>
        <v>3.9758269720101781E-3</v>
      </c>
      <c r="F19" s="43">
        <f>INDEX(_data_calc!$B$92:$N$111,MATCH($B19,_data_calc!$A$92:$A$111,0),MATCH(F$5,_data_calc!$B$91:$N$91,0))</f>
        <v>3.0216284987277351E-3</v>
      </c>
      <c r="G19" s="43">
        <f>INDEX(_data_calc!$B$92:$N$111,MATCH($B19,_data_calc!$A$92:$A$111,0),MATCH(G$5,_data_calc!$B$91:$N$91,0))</f>
        <v>2.5445292620865142E-3</v>
      </c>
      <c r="H19" s="43">
        <f>INDEX(_data_calc!$B$92:$N$111,MATCH($B19,_data_calc!$A$92:$A$111,0),MATCH(H$5,_data_calc!$B$91:$N$91,0))</f>
        <v>2.2264631043257001E-3</v>
      </c>
      <c r="I19" s="43">
        <f>INDEX(_data_calc!$B$92:$N$111,MATCH($B19,_data_calc!$A$92:$A$111,0),MATCH(I$5,_data_calc!$B$91:$N$91,0))</f>
        <v>2.067430025445292E-3</v>
      </c>
      <c r="J19" s="43">
        <f>INDEX(_data_calc!$B$92:$N$111,MATCH($B19,_data_calc!$A$92:$A$111,0),MATCH(J$5,_data_calc!$B$91:$N$91,0))</f>
        <v>0</v>
      </c>
      <c r="K19" s="43">
        <f>INDEX(_data_calc!$B$92:$N$111,MATCH($B19,_data_calc!$A$92:$A$111,0),MATCH(K$5,_data_calc!$B$91:$N$91,0))</f>
        <v>0</v>
      </c>
      <c r="L19" s="43">
        <f>INDEX(_data_calc!$B$92:$N$111,MATCH($B19,_data_calc!$A$92:$A$111,0),MATCH(L$5,_data_calc!$B$91:$N$91,0))</f>
        <v>0</v>
      </c>
      <c r="M19" s="43">
        <f>INDEX(_data_calc!$B$92:$N$111,MATCH($B19,_data_calc!$A$92:$A$111,0),MATCH(M$5,_data_calc!$B$91:$N$91,0))</f>
        <v>0</v>
      </c>
      <c r="N19" s="43">
        <f>INDEX(_data_calc!$B$92:$N$111,MATCH($B19,_data_calc!$A$92:$A$111,0),MATCH(N$5,_data_calc!$B$91:$N$91,0))</f>
        <v>0</v>
      </c>
      <c r="O19" s="43">
        <f>INDEX(_data_calc!$B$92:$N$111,MATCH($B19,_data_calc!$A$92:$A$111,0),MATCH(O$5,_data_calc!$B$91:$N$91,0))</f>
        <v>0</v>
      </c>
    </row>
    <row r="20" spans="2:15" ht="15" x14ac:dyDescent="0.35">
      <c r="B20" s="42" t="s">
        <v>249</v>
      </c>
      <c r="C20" s="43">
        <f>INDEX(_data_calc!$B$92:$N$111,MATCH($B20,_data_calc!$A$92:$A$111,0),MATCH(C$5,_data_calc!$B$91:$N$91,0))</f>
        <v>1</v>
      </c>
      <c r="D20" s="43">
        <f>INDEX(_data_calc!$B$92:$N$111,MATCH($B20,_data_calc!$A$92:$A$111,0),MATCH(D$5,_data_calc!$B$91:$N$91,0))</f>
        <v>3.9858281665190436E-3</v>
      </c>
      <c r="E20" s="43">
        <f>INDEX(_data_calc!$B$92:$N$111,MATCH($B20,_data_calc!$A$92:$A$111,0),MATCH(E$5,_data_calc!$B$91:$N$91,0))</f>
        <v>2.9524653085326248E-3</v>
      </c>
      <c r="F20" s="43">
        <f>INDEX(_data_calc!$B$92:$N$111,MATCH($B20,_data_calc!$A$92:$A$111,0),MATCH(F$5,_data_calc!$B$91:$N$91,0))</f>
        <v>2.9524653085326248E-3</v>
      </c>
      <c r="G20" s="43">
        <f>INDEX(_data_calc!$B$92:$N$111,MATCH($B20,_data_calc!$A$92:$A$111,0),MATCH(G$5,_data_calc!$B$91:$N$91,0))</f>
        <v>1.1809861234130499E-3</v>
      </c>
      <c r="H20" s="43">
        <f>INDEX(_data_calc!$B$92:$N$111,MATCH($B20,_data_calc!$A$92:$A$111,0),MATCH(H$5,_data_calc!$B$91:$N$91,0))</f>
        <v>1.1809861234130499E-3</v>
      </c>
      <c r="I20" s="43">
        <f>INDEX(_data_calc!$B$92:$N$111,MATCH($B20,_data_calc!$A$92:$A$111,0),MATCH(I$5,_data_calc!$B$91:$N$91,0))</f>
        <v>0</v>
      </c>
      <c r="J20" s="43">
        <f>INDEX(_data_calc!$B$92:$N$111,MATCH($B20,_data_calc!$A$92:$A$111,0),MATCH(J$5,_data_calc!$B$91:$N$91,0))</f>
        <v>0</v>
      </c>
      <c r="K20" s="43">
        <f>INDEX(_data_calc!$B$92:$N$111,MATCH($B20,_data_calc!$A$92:$A$111,0),MATCH(K$5,_data_calc!$B$91:$N$91,0))</f>
        <v>0</v>
      </c>
      <c r="L20" s="43">
        <f>INDEX(_data_calc!$B$92:$N$111,MATCH($B20,_data_calc!$A$92:$A$111,0),MATCH(L$5,_data_calc!$B$91:$N$91,0))</f>
        <v>0</v>
      </c>
      <c r="M20" s="43">
        <f>INDEX(_data_calc!$B$92:$N$111,MATCH($B20,_data_calc!$A$92:$A$111,0),MATCH(M$5,_data_calc!$B$91:$N$91,0))</f>
        <v>0</v>
      </c>
      <c r="N20" s="43">
        <f>INDEX(_data_calc!$B$92:$N$111,MATCH($B20,_data_calc!$A$92:$A$111,0),MATCH(N$5,_data_calc!$B$91:$N$91,0))</f>
        <v>0</v>
      </c>
      <c r="O20" s="43">
        <f>INDEX(_data_calc!$B$92:$N$111,MATCH($B20,_data_calc!$A$92:$A$111,0),MATCH(O$5,_data_calc!$B$91:$N$91,0))</f>
        <v>0</v>
      </c>
    </row>
    <row r="21" spans="2:15" ht="15" x14ac:dyDescent="0.35">
      <c r="B21" s="42" t="s">
        <v>250</v>
      </c>
      <c r="C21" s="43">
        <f>INDEX(_data_calc!$B$92:$N$111,MATCH($B21,_data_calc!$A$92:$A$111,0),MATCH(C$5,_data_calc!$B$91:$N$91,0))</f>
        <v>1</v>
      </c>
      <c r="D21" s="43">
        <f>INDEX(_data_calc!$B$92:$N$111,MATCH($B21,_data_calc!$A$92:$A$111,0),MATCH(D$5,_data_calc!$B$91:$N$91,0))</f>
        <v>5.9252506836827709E-3</v>
      </c>
      <c r="E21" s="43">
        <f>INDEX(_data_calc!$B$92:$N$111,MATCH($B21,_data_calc!$A$92:$A$111,0),MATCH(E$5,_data_calc!$B$91:$N$91,0))</f>
        <v>3.038590094196293E-3</v>
      </c>
      <c r="F21" s="43">
        <f>INDEX(_data_calc!$B$92:$N$111,MATCH($B21,_data_calc!$A$92:$A$111,0),MATCH(F$5,_data_calc!$B$91:$N$91,0))</f>
        <v>2.4308720753570341E-3</v>
      </c>
      <c r="G21" s="43">
        <f>INDEX(_data_calc!$B$92:$N$111,MATCH($B21,_data_calc!$A$92:$A$111,0),MATCH(G$5,_data_calc!$B$91:$N$91,0))</f>
        <v>1.3673655423883321E-3</v>
      </c>
      <c r="H21" s="43">
        <f>INDEX(_data_calc!$B$92:$N$111,MATCH($B21,_data_calc!$A$92:$A$111,0),MATCH(H$5,_data_calc!$B$91:$N$91,0))</f>
        <v>0</v>
      </c>
      <c r="I21" s="43">
        <f>INDEX(_data_calc!$B$92:$N$111,MATCH($B21,_data_calc!$A$92:$A$111,0),MATCH(I$5,_data_calc!$B$91:$N$91,0))</f>
        <v>0</v>
      </c>
      <c r="J21" s="43">
        <f>INDEX(_data_calc!$B$92:$N$111,MATCH($B21,_data_calc!$A$92:$A$111,0),MATCH(J$5,_data_calc!$B$91:$N$91,0))</f>
        <v>0</v>
      </c>
      <c r="K21" s="43">
        <f>INDEX(_data_calc!$B$92:$N$111,MATCH($B21,_data_calc!$A$92:$A$111,0),MATCH(K$5,_data_calc!$B$91:$N$91,0))</f>
        <v>0</v>
      </c>
      <c r="L21" s="43">
        <f>INDEX(_data_calc!$B$92:$N$111,MATCH($B21,_data_calc!$A$92:$A$111,0),MATCH(L$5,_data_calc!$B$91:$N$91,0))</f>
        <v>0</v>
      </c>
      <c r="M21" s="43">
        <f>INDEX(_data_calc!$B$92:$N$111,MATCH($B21,_data_calc!$A$92:$A$111,0),MATCH(M$5,_data_calc!$B$91:$N$91,0))</f>
        <v>0</v>
      </c>
      <c r="N21" s="43">
        <f>INDEX(_data_calc!$B$92:$N$111,MATCH($B21,_data_calc!$A$92:$A$111,0),MATCH(N$5,_data_calc!$B$91:$N$91,0))</f>
        <v>0</v>
      </c>
      <c r="O21" s="43">
        <f>INDEX(_data_calc!$B$92:$N$111,MATCH($B21,_data_calc!$A$92:$A$111,0),MATCH(O$5,_data_calc!$B$91:$N$91,0))</f>
        <v>0</v>
      </c>
    </row>
    <row r="22" spans="2:15" ht="15" x14ac:dyDescent="0.35">
      <c r="B22" s="42" t="s">
        <v>251</v>
      </c>
      <c r="C22" s="43">
        <f>INDEX(_data_calc!$B$92:$N$111,MATCH($B22,_data_calc!$A$92:$A$111,0),MATCH(C$5,_data_calc!$B$91:$N$91,0))</f>
        <v>1</v>
      </c>
      <c r="D22" s="43">
        <f>INDEX(_data_calc!$B$92:$N$111,MATCH($B22,_data_calc!$A$92:$A$111,0),MATCH(D$5,_data_calc!$B$91:$N$91,0))</f>
        <v>5.2259452812788197E-3</v>
      </c>
      <c r="E22" s="43">
        <f>INDEX(_data_calc!$B$92:$N$111,MATCH($B22,_data_calc!$A$92:$A$111,0),MATCH(E$5,_data_calc!$B$91:$N$91,0))</f>
        <v>2.6129726406394099E-3</v>
      </c>
      <c r="F22" s="43">
        <f>INDEX(_data_calc!$B$92:$N$111,MATCH($B22,_data_calc!$A$92:$A$111,0),MATCH(F$5,_data_calc!$B$91:$N$91,0))</f>
        <v>1.8444512757454659E-3</v>
      </c>
      <c r="G22" s="43">
        <f>INDEX(_data_calc!$B$92:$N$111,MATCH($B22,_data_calc!$A$92:$A$111,0),MATCH(G$5,_data_calc!$B$91:$N$91,0))</f>
        <v>0</v>
      </c>
      <c r="H22" s="43">
        <f>INDEX(_data_calc!$B$92:$N$111,MATCH($B22,_data_calc!$A$92:$A$111,0),MATCH(H$5,_data_calc!$B$91:$N$91,0))</f>
        <v>0</v>
      </c>
      <c r="I22" s="43">
        <f>INDEX(_data_calc!$B$92:$N$111,MATCH($B22,_data_calc!$A$92:$A$111,0),MATCH(I$5,_data_calc!$B$91:$N$91,0))</f>
        <v>0</v>
      </c>
      <c r="J22" s="43">
        <f>INDEX(_data_calc!$B$92:$N$111,MATCH($B22,_data_calc!$A$92:$A$111,0),MATCH(J$5,_data_calc!$B$91:$N$91,0))</f>
        <v>0</v>
      </c>
      <c r="K22" s="43">
        <f>INDEX(_data_calc!$B$92:$N$111,MATCH($B22,_data_calc!$A$92:$A$111,0),MATCH(K$5,_data_calc!$B$91:$N$91,0))</f>
        <v>0</v>
      </c>
      <c r="L22" s="43">
        <f>INDEX(_data_calc!$B$92:$N$111,MATCH($B22,_data_calc!$A$92:$A$111,0),MATCH(L$5,_data_calc!$B$91:$N$91,0))</f>
        <v>0</v>
      </c>
      <c r="M22" s="43">
        <f>INDEX(_data_calc!$B$92:$N$111,MATCH($B22,_data_calc!$A$92:$A$111,0),MATCH(M$5,_data_calc!$B$91:$N$91,0))</f>
        <v>0</v>
      </c>
      <c r="N22" s="43">
        <f>INDEX(_data_calc!$B$92:$N$111,MATCH($B22,_data_calc!$A$92:$A$111,0),MATCH(N$5,_data_calc!$B$91:$N$91,0))</f>
        <v>0</v>
      </c>
      <c r="O22" s="43">
        <f>INDEX(_data_calc!$B$92:$N$111,MATCH($B22,_data_calc!$A$92:$A$111,0),MATCH(O$5,_data_calc!$B$91:$N$91,0))</f>
        <v>0</v>
      </c>
    </row>
    <row r="23" spans="2:15" ht="15" x14ac:dyDescent="0.35">
      <c r="B23" s="42" t="s">
        <v>252</v>
      </c>
      <c r="C23" s="43">
        <f>INDEX(_data_calc!$B$92:$N$111,MATCH($B23,_data_calc!$A$92:$A$111,0),MATCH(C$5,_data_calc!$B$91:$N$91,0))</f>
        <v>1</v>
      </c>
      <c r="D23" s="43">
        <f>INDEX(_data_calc!$B$92:$N$111,MATCH($B23,_data_calc!$A$92:$A$111,0),MATCH(D$5,_data_calc!$B$91:$N$91,0))</f>
        <v>4.2531473290234774E-3</v>
      </c>
      <c r="E23" s="43">
        <f>INDEX(_data_calc!$B$92:$N$111,MATCH($B23,_data_calc!$A$92:$A$111,0),MATCH(E$5,_data_calc!$B$91:$N$91,0))</f>
        <v>2.722014290575025E-3</v>
      </c>
      <c r="F23" s="43">
        <f>INDEX(_data_calc!$B$92:$N$111,MATCH($B23,_data_calc!$A$92:$A$111,0),MATCH(F$5,_data_calc!$B$91:$N$91,0))</f>
        <v>0</v>
      </c>
      <c r="G23" s="43">
        <f>INDEX(_data_calc!$B$92:$N$111,MATCH($B23,_data_calc!$A$92:$A$111,0),MATCH(G$5,_data_calc!$B$91:$N$91,0))</f>
        <v>0</v>
      </c>
      <c r="H23" s="43">
        <f>INDEX(_data_calc!$B$92:$N$111,MATCH($B23,_data_calc!$A$92:$A$111,0),MATCH(H$5,_data_calc!$B$91:$N$91,0))</f>
        <v>0</v>
      </c>
      <c r="I23" s="43">
        <f>INDEX(_data_calc!$B$92:$N$111,MATCH($B23,_data_calc!$A$92:$A$111,0),MATCH(I$5,_data_calc!$B$91:$N$91,0))</f>
        <v>0</v>
      </c>
      <c r="J23" s="43">
        <f>INDEX(_data_calc!$B$92:$N$111,MATCH($B23,_data_calc!$A$92:$A$111,0),MATCH(J$5,_data_calc!$B$91:$N$91,0))</f>
        <v>0</v>
      </c>
      <c r="K23" s="43">
        <f>INDEX(_data_calc!$B$92:$N$111,MATCH($B23,_data_calc!$A$92:$A$111,0),MATCH(K$5,_data_calc!$B$91:$N$91,0))</f>
        <v>0</v>
      </c>
      <c r="L23" s="43">
        <f>INDEX(_data_calc!$B$92:$N$111,MATCH($B23,_data_calc!$A$92:$A$111,0),MATCH(L$5,_data_calc!$B$91:$N$91,0))</f>
        <v>0</v>
      </c>
      <c r="M23" s="43">
        <f>INDEX(_data_calc!$B$92:$N$111,MATCH($B23,_data_calc!$A$92:$A$111,0),MATCH(M$5,_data_calc!$B$91:$N$91,0))</f>
        <v>0</v>
      </c>
      <c r="N23" s="43">
        <f>INDEX(_data_calc!$B$92:$N$111,MATCH($B23,_data_calc!$A$92:$A$111,0),MATCH(N$5,_data_calc!$B$91:$N$91,0))</f>
        <v>0</v>
      </c>
      <c r="O23" s="43">
        <f>INDEX(_data_calc!$B$92:$N$111,MATCH($B23,_data_calc!$A$92:$A$111,0),MATCH(O$5,_data_calc!$B$91:$N$91,0))</f>
        <v>0</v>
      </c>
    </row>
    <row r="24" spans="2:15" ht="15" x14ac:dyDescent="0.35">
      <c r="B24" s="42" t="s">
        <v>253</v>
      </c>
      <c r="C24" s="43">
        <f>INDEX(_data_calc!$B$92:$N$111,MATCH($B24,_data_calc!$A$92:$A$111,0),MATCH(C$5,_data_calc!$B$91:$N$91,0))</f>
        <v>1</v>
      </c>
      <c r="D24" s="43">
        <f>INDEX(_data_calc!$B$92:$N$111,MATCH($B24,_data_calc!$A$92:$A$111,0),MATCH(D$5,_data_calc!$B$91:$N$91,0))</f>
        <v>5.2109598251807044E-3</v>
      </c>
      <c r="E24" s="43">
        <f>INDEX(_data_calc!$B$92:$N$111,MATCH($B24,_data_calc!$A$92:$A$111,0),MATCH(E$5,_data_calc!$B$91:$N$91,0))</f>
        <v>0</v>
      </c>
      <c r="F24" s="43">
        <f>INDEX(_data_calc!$B$92:$N$111,MATCH($B24,_data_calc!$A$92:$A$111,0),MATCH(F$5,_data_calc!$B$91:$N$91,0))</f>
        <v>0</v>
      </c>
      <c r="G24" s="43">
        <f>INDEX(_data_calc!$B$92:$N$111,MATCH($B24,_data_calc!$A$92:$A$111,0),MATCH(G$5,_data_calc!$B$91:$N$91,0))</f>
        <v>0</v>
      </c>
      <c r="H24" s="43">
        <f>INDEX(_data_calc!$B$92:$N$111,MATCH($B24,_data_calc!$A$92:$A$111,0),MATCH(H$5,_data_calc!$B$91:$N$91,0))</f>
        <v>0</v>
      </c>
      <c r="I24" s="43">
        <f>INDEX(_data_calc!$B$92:$N$111,MATCH($B24,_data_calc!$A$92:$A$111,0),MATCH(I$5,_data_calc!$B$91:$N$91,0))</f>
        <v>0</v>
      </c>
      <c r="J24" s="43">
        <f>INDEX(_data_calc!$B$92:$N$111,MATCH($B24,_data_calc!$A$92:$A$111,0),MATCH(J$5,_data_calc!$B$91:$N$91,0))</f>
        <v>0</v>
      </c>
      <c r="K24" s="43">
        <f>INDEX(_data_calc!$B$92:$N$111,MATCH($B24,_data_calc!$A$92:$A$111,0),MATCH(K$5,_data_calc!$B$91:$N$91,0))</f>
        <v>0</v>
      </c>
      <c r="L24" s="43">
        <f>INDEX(_data_calc!$B$92:$N$111,MATCH($B24,_data_calc!$A$92:$A$111,0),MATCH(L$5,_data_calc!$B$91:$N$91,0))</f>
        <v>0</v>
      </c>
      <c r="M24" s="43">
        <f>INDEX(_data_calc!$B$92:$N$111,MATCH($B24,_data_calc!$A$92:$A$111,0),MATCH(M$5,_data_calc!$B$91:$N$91,0))</f>
        <v>0</v>
      </c>
      <c r="N24" s="43">
        <f>INDEX(_data_calc!$B$92:$N$111,MATCH($B24,_data_calc!$A$92:$A$111,0),MATCH(N$5,_data_calc!$B$91:$N$91,0))</f>
        <v>0</v>
      </c>
      <c r="O24" s="43">
        <f>INDEX(_data_calc!$B$92:$N$111,MATCH($B24,_data_calc!$A$92:$A$111,0),MATCH(O$5,_data_calc!$B$91:$N$91,0))</f>
        <v>0</v>
      </c>
    </row>
    <row r="25" spans="2:15" ht="15" x14ac:dyDescent="0.35">
      <c r="B25" s="42" t="s">
        <v>254</v>
      </c>
      <c r="C25" s="43">
        <f>INDEX(_data_calc!$B$92:$N$111,MATCH($B25,_data_calc!$A$92:$A$111,0),MATCH(C$5,_data_calc!$B$91:$N$91,0))</f>
        <v>1</v>
      </c>
      <c r="D25" s="43">
        <f>INDEX(_data_calc!$B$92:$N$111,MATCH($B25,_data_calc!$A$92:$A$111,0),MATCH(D$5,_data_calc!$B$91:$N$91,0))</f>
        <v>0</v>
      </c>
      <c r="E25" s="43">
        <f>INDEX(_data_calc!$B$92:$N$111,MATCH($B25,_data_calc!$A$92:$A$111,0),MATCH(E$5,_data_calc!$B$91:$N$91,0))</f>
        <v>0</v>
      </c>
      <c r="F25" s="43">
        <f>INDEX(_data_calc!$B$92:$N$111,MATCH($B25,_data_calc!$A$92:$A$111,0),MATCH(F$5,_data_calc!$B$91:$N$91,0))</f>
        <v>0</v>
      </c>
      <c r="G25" s="43">
        <f>INDEX(_data_calc!$B$92:$N$111,MATCH($B25,_data_calc!$A$92:$A$111,0),MATCH(G$5,_data_calc!$B$91:$N$91,0))</f>
        <v>0</v>
      </c>
      <c r="H25" s="43">
        <f>INDEX(_data_calc!$B$92:$N$111,MATCH($B25,_data_calc!$A$92:$A$111,0),MATCH(H$5,_data_calc!$B$91:$N$91,0))</f>
        <v>0</v>
      </c>
      <c r="I25" s="43">
        <f>INDEX(_data_calc!$B$92:$N$111,MATCH($B25,_data_calc!$A$92:$A$111,0),MATCH(I$5,_data_calc!$B$91:$N$91,0))</f>
        <v>0</v>
      </c>
      <c r="J25" s="43">
        <f>INDEX(_data_calc!$B$92:$N$111,MATCH($B25,_data_calc!$A$92:$A$111,0),MATCH(J$5,_data_calc!$B$91:$N$91,0))</f>
        <v>0</v>
      </c>
      <c r="K25" s="43">
        <f>INDEX(_data_calc!$B$92:$N$111,MATCH($B25,_data_calc!$A$92:$A$111,0),MATCH(K$5,_data_calc!$B$91:$N$91,0))</f>
        <v>0</v>
      </c>
      <c r="L25" s="43">
        <f>INDEX(_data_calc!$B$92:$N$111,MATCH($B25,_data_calc!$A$92:$A$111,0),MATCH(L$5,_data_calc!$B$91:$N$91,0))</f>
        <v>0</v>
      </c>
      <c r="M25" s="43">
        <f>INDEX(_data_calc!$B$92:$N$111,MATCH($B25,_data_calc!$A$92:$A$111,0),MATCH(M$5,_data_calc!$B$91:$N$91,0))</f>
        <v>0</v>
      </c>
      <c r="N25" s="43">
        <f>INDEX(_data_calc!$B$92:$N$111,MATCH($B25,_data_calc!$A$92:$A$111,0),MATCH(N$5,_data_calc!$B$91:$N$91,0))</f>
        <v>0</v>
      </c>
      <c r="O25" s="43">
        <f>INDEX(_data_calc!$B$92:$N$111,MATCH($B25,_data_calc!$A$92:$A$111,0),MATCH(O$5,_data_calc!$B$91:$N$91,0))</f>
        <v>0</v>
      </c>
    </row>
  </sheetData>
  <phoneticPr fontId="21" type="noConversion"/>
  <conditionalFormatting sqref="D6:O25">
    <cfRule type="colorScale" priority="1">
      <colorScale>
        <cfvo type="num" val="0"/>
        <cfvo type="num" val="0.05"/>
        <cfvo type="num" val="0.1"/>
        <color rgb="FFFFFFFF"/>
        <color rgb="FFF4D35E"/>
        <color rgb="FFE07B39"/>
      </colorScale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24"/>
  <sheetViews>
    <sheetView showGridLines="0" workbookViewId="0"/>
  </sheetViews>
  <sheetFormatPr defaultRowHeight="14.5" x14ac:dyDescent="0.3"/>
  <cols>
    <col min="1" max="1" width="2" customWidth="1"/>
    <col min="2" max="2" width="32" customWidth="1"/>
    <col min="3" max="7" width="18" customWidth="1"/>
    <col min="8" max="8" width="2" customWidth="1"/>
  </cols>
  <sheetData>
    <row r="2" spans="2:7" ht="23.5" x14ac:dyDescent="0.3">
      <c r="B2" s="27" t="s">
        <v>292</v>
      </c>
      <c r="C2" s="2"/>
      <c r="D2" s="2"/>
      <c r="E2" s="2"/>
      <c r="F2" s="2"/>
      <c r="G2" s="2"/>
    </row>
    <row r="3" spans="2:7" x14ac:dyDescent="0.3">
      <c r="B3" s="28" t="s">
        <v>293</v>
      </c>
      <c r="C3" s="2"/>
      <c r="D3" s="2"/>
      <c r="E3" s="2"/>
      <c r="F3" s="2"/>
      <c r="G3" s="2"/>
    </row>
    <row r="5" spans="2:7" ht="17" x14ac:dyDescent="0.4">
      <c r="B5" s="6" t="s">
        <v>294</v>
      </c>
    </row>
    <row r="6" spans="2:7" x14ac:dyDescent="0.3">
      <c r="B6" s="10" t="s">
        <v>295</v>
      </c>
      <c r="C6" s="10" t="s">
        <v>205</v>
      </c>
      <c r="D6" s="10" t="s">
        <v>296</v>
      </c>
      <c r="E6" s="10" t="s">
        <v>297</v>
      </c>
    </row>
    <row r="7" spans="2:7" ht="15.5" x14ac:dyDescent="0.35">
      <c r="B7" s="24" t="s">
        <v>298</v>
      </c>
      <c r="C7" s="44">
        <f>_xlfn.XLOOKUP("At Risk",_data_calc!$A:$A,_data_calc!$B:$B,0)</f>
        <v>21975</v>
      </c>
      <c r="D7" s="45" t="s">
        <v>299</v>
      </c>
      <c r="E7" s="45" t="s">
        <v>300</v>
      </c>
    </row>
    <row r="8" spans="2:7" ht="15.5" x14ac:dyDescent="0.35">
      <c r="B8" s="24" t="s">
        <v>301</v>
      </c>
      <c r="C8" s="46">
        <f>_xlfn.XLOOKUP("At Risk",_data_calc!$A:$A,_data_calc!$F:$F,0)</f>
        <v>213.4</v>
      </c>
      <c r="D8" s="45" t="s">
        <v>302</v>
      </c>
      <c r="E8" s="45" t="s">
        <v>300</v>
      </c>
    </row>
    <row r="9" spans="2:7" ht="15.5" x14ac:dyDescent="0.35">
      <c r="B9" s="24" t="s">
        <v>303</v>
      </c>
      <c r="C9" s="47">
        <v>0.5</v>
      </c>
      <c r="D9" s="45" t="s">
        <v>304</v>
      </c>
      <c r="E9" s="45" t="s">
        <v>305</v>
      </c>
    </row>
    <row r="10" spans="2:7" ht="15.5" x14ac:dyDescent="0.35">
      <c r="B10" s="24" t="s">
        <v>306</v>
      </c>
      <c r="C10" s="44">
        <v>50000</v>
      </c>
      <c r="D10" s="45" t="s">
        <v>299</v>
      </c>
      <c r="E10" s="45" t="s">
        <v>307</v>
      </c>
    </row>
    <row r="13" spans="2:7" ht="17" x14ac:dyDescent="0.4">
      <c r="B13" s="6" t="s">
        <v>308</v>
      </c>
    </row>
    <row r="14" spans="2:7" x14ac:dyDescent="0.3">
      <c r="B14" s="10" t="s">
        <v>204</v>
      </c>
      <c r="C14" s="10" t="s">
        <v>309</v>
      </c>
      <c r="D14" s="10" t="s">
        <v>310</v>
      </c>
      <c r="E14" s="10" t="s">
        <v>311</v>
      </c>
      <c r="F14" s="10" t="s">
        <v>312</v>
      </c>
    </row>
    <row r="15" spans="2:7" ht="15" x14ac:dyDescent="0.35">
      <c r="B15" s="24" t="s">
        <v>313</v>
      </c>
      <c r="C15" s="48">
        <v>0.05</v>
      </c>
      <c r="D15" s="48">
        <v>0.1</v>
      </c>
      <c r="E15" s="48">
        <v>0.2</v>
      </c>
      <c r="F15" s="49">
        <v>0.1</v>
      </c>
    </row>
    <row r="16" spans="2:7" ht="15" x14ac:dyDescent="0.35">
      <c r="B16" s="24" t="s">
        <v>314</v>
      </c>
      <c r="C16" s="37">
        <f>At_Risk_Count*C15</f>
        <v>1098.75</v>
      </c>
      <c r="D16" s="37">
        <f>At_Risk_Count*D15</f>
        <v>2197.5</v>
      </c>
      <c r="E16" s="37">
        <f>At_Risk_Count*E15</f>
        <v>4395</v>
      </c>
      <c r="F16" s="37">
        <f>At_Risk_Count*F15</f>
        <v>2197.5</v>
      </c>
    </row>
    <row r="17" spans="2:6" ht="15" x14ac:dyDescent="0.35">
      <c r="B17" s="24" t="s">
        <v>315</v>
      </c>
      <c r="C17" s="37">
        <f>At_Risk_Count*C15*ARPU*Repeat_Spend</f>
        <v>117236.625</v>
      </c>
      <c r="D17" s="37">
        <f>At_Risk_Count*D15*ARPU*Repeat_Spend</f>
        <v>234473.25</v>
      </c>
      <c r="E17" s="37">
        <f>At_Risk_Count*E15*ARPU*Repeat_Spend</f>
        <v>468946.5</v>
      </c>
      <c r="F17" s="37">
        <f>At_Risk_Count*F15*ARPU*Repeat_Spend</f>
        <v>234473.25</v>
      </c>
    </row>
    <row r="18" spans="2:6" ht="15" x14ac:dyDescent="0.35">
      <c r="B18" s="24" t="s">
        <v>316</v>
      </c>
      <c r="C18" s="37">
        <f>CRM_Cost</f>
        <v>50000</v>
      </c>
      <c r="D18" s="37">
        <f>CRM_Cost</f>
        <v>50000</v>
      </c>
      <c r="E18" s="37">
        <f>CRM_Cost</f>
        <v>50000</v>
      </c>
      <c r="F18" s="37">
        <f>CRM_Cost</f>
        <v>50000</v>
      </c>
    </row>
    <row r="19" spans="2:6" ht="15" x14ac:dyDescent="0.35">
      <c r="B19" s="24" t="s">
        <v>317</v>
      </c>
      <c r="C19" s="50">
        <f>C17-C18</f>
        <v>67236.625</v>
      </c>
      <c r="D19" s="50">
        <f>D17-D18</f>
        <v>184473.25</v>
      </c>
      <c r="E19" s="50">
        <f>E17-E18</f>
        <v>418946.5</v>
      </c>
      <c r="F19" s="50">
        <f>F17-F18</f>
        <v>184473.25</v>
      </c>
    </row>
    <row r="20" spans="2:6" ht="18.5" x14ac:dyDescent="0.35">
      <c r="B20" s="51" t="s">
        <v>318</v>
      </c>
      <c r="C20" s="52">
        <f>C17/C18</f>
        <v>2.3447325000000001</v>
      </c>
      <c r="D20" s="52">
        <f>D17/D18</f>
        <v>4.6894650000000002</v>
      </c>
      <c r="E20" s="52">
        <f>E17/E18</f>
        <v>9.3789300000000004</v>
      </c>
      <c r="F20" s="52">
        <f>F17/F18</f>
        <v>4.6894650000000002</v>
      </c>
    </row>
    <row r="22" spans="2:6" ht="17" x14ac:dyDescent="0.4">
      <c r="B22" s="6" t="s">
        <v>319</v>
      </c>
    </row>
    <row r="23" spans="2:6" ht="15" x14ac:dyDescent="0.35">
      <c r="B23" s="53" t="s">
        <v>320</v>
      </c>
    </row>
    <row r="24" spans="2:6" ht="15" x14ac:dyDescent="0.35">
      <c r="B24" s="53" t="s">
        <v>321</v>
      </c>
    </row>
  </sheetData>
  <phoneticPr fontId="2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2" customWidth="1"/>
    <col min="2" max="2" width="22" customWidth="1"/>
    <col min="3" max="3" width="14" customWidth="1"/>
    <col min="4" max="4" width="18" customWidth="1"/>
    <col min="5" max="5" width="14" customWidth="1"/>
    <col min="6" max="6" width="18" customWidth="1"/>
    <col min="7" max="7" width="2" customWidth="1"/>
  </cols>
  <sheetData>
    <row r="2" spans="2:6" ht="23.5" x14ac:dyDescent="0.3">
      <c r="B2" s="27" t="s">
        <v>322</v>
      </c>
      <c r="C2" s="2"/>
      <c r="D2" s="2"/>
      <c r="E2" s="2"/>
      <c r="F2" s="2"/>
    </row>
    <row r="3" spans="2:6" x14ac:dyDescent="0.3">
      <c r="B3" s="28" t="s">
        <v>323</v>
      </c>
      <c r="C3" s="2"/>
      <c r="D3" s="2"/>
      <c r="E3" s="2"/>
      <c r="F3" s="2"/>
    </row>
    <row r="5" spans="2:6" x14ac:dyDescent="0.3">
      <c r="B5" s="10" t="s">
        <v>324</v>
      </c>
      <c r="C5" s="10" t="s">
        <v>218</v>
      </c>
      <c r="D5" s="10" t="s">
        <v>325</v>
      </c>
      <c r="E5" s="10" t="s">
        <v>258</v>
      </c>
      <c r="F5" s="10" t="s">
        <v>326</v>
      </c>
    </row>
    <row r="6" spans="2:6" x14ac:dyDescent="0.3">
      <c r="B6" s="38" t="s">
        <v>327</v>
      </c>
      <c r="C6" s="30">
        <f>_xlfn.XLOOKUP(B6,_data_calc!$A:$A,_data_calc!$B:$B,0)</f>
        <v>25455</v>
      </c>
      <c r="D6" s="41">
        <f>_xlfn.XLOOKUP(B6,_data_calc!$A:$A,_data_calc!$F:$F,0)/C6</f>
        <v>95.870005892751919</v>
      </c>
      <c r="E6" s="30">
        <f>_xlfn.XLOOKUP(B6,_data_calc!$A:$A,_data_calc!$D:$D,0)</f>
        <v>23931</v>
      </c>
      <c r="F6" s="54">
        <f>_xlfn.XLOOKUP(B6,_data_calc!$A:$A,_data_calc!$G:$G,0)/E6</f>
        <v>2.5113869040157118E-2</v>
      </c>
    </row>
    <row r="7" spans="2:6" x14ac:dyDescent="0.3">
      <c r="B7" s="38" t="s">
        <v>328</v>
      </c>
      <c r="C7" s="30">
        <f>_xlfn.XLOOKUP(B7,_data_calc!$A:$A,_data_calc!$B:$B,0)</f>
        <v>22874</v>
      </c>
      <c r="D7" s="41">
        <f>_xlfn.XLOOKUP(B7,_data_calc!$A:$A,_data_calc!$F:$F,0)/C7</f>
        <v>134.22999912564484</v>
      </c>
      <c r="E7" s="30">
        <f>_xlfn.XLOOKUP(B7,_data_calc!$A:$A,_data_calc!$D:$D,0)</f>
        <v>21502</v>
      </c>
      <c r="F7" s="54">
        <f>_xlfn.XLOOKUP(B7,_data_calc!$A:$A,_data_calc!$G:$G,0)/E7</f>
        <v>2.809041019440052E-2</v>
      </c>
    </row>
    <row r="8" spans="2:6" x14ac:dyDescent="0.3">
      <c r="B8" s="38" t="s">
        <v>329</v>
      </c>
      <c r="C8" s="30">
        <f>_xlfn.XLOOKUP(B8,_data_calc!$A:$A,_data_calc!$B:$B,0)</f>
        <v>16257</v>
      </c>
      <c r="D8" s="41">
        <f>_xlfn.XLOOKUP(B8,_data_calc!$A:$A,_data_calc!$F:$F,0)/C8</f>
        <v>181.31998523712863</v>
      </c>
      <c r="E8" s="30">
        <f>_xlfn.XLOOKUP(B8,_data_calc!$A:$A,_data_calc!$D:$D,0)</f>
        <v>15173</v>
      </c>
      <c r="F8" s="54">
        <f>_xlfn.XLOOKUP(B8,_data_calc!$A:$A,_data_calc!$G:$G,0)/E8</f>
        <v>3.1832861003097609E-2</v>
      </c>
    </row>
    <row r="9" spans="2:6" x14ac:dyDescent="0.3">
      <c r="B9" s="38" t="s">
        <v>330</v>
      </c>
      <c r="C9" s="30">
        <f>_xlfn.XLOOKUP(B9,_data_calc!$A:$A,_data_calc!$B:$B,0)</f>
        <v>11866</v>
      </c>
      <c r="D9" s="41">
        <f>_xlfn.XLOOKUP(B9,_data_calc!$A:$A,_data_calc!$F:$F,0)/C9</f>
        <v>333.83001854036746</v>
      </c>
      <c r="E9" s="30">
        <f>_xlfn.XLOOKUP(B9,_data_calc!$A:$A,_data_calc!$D:$D,0)</f>
        <v>10966</v>
      </c>
      <c r="F9" s="54">
        <f>_xlfn.XLOOKUP(B9,_data_calc!$A:$A,_data_calc!$G:$G,0)/E9</f>
        <v>4.130950209739194E-2</v>
      </c>
    </row>
    <row r="10" spans="2:6" x14ac:dyDescent="0.3">
      <c r="B10" s="38" t="s">
        <v>331</v>
      </c>
      <c r="C10" s="30">
        <f>_xlfn.XLOOKUP(B10,_data_calc!$A:$A,_data_calc!$B:$B,0)</f>
        <v>341</v>
      </c>
      <c r="D10" s="41">
        <f>_xlfn.XLOOKUP(B10,_data_calc!$A:$A,_data_calc!$F:$F,0)/C10</f>
        <v>358.34017595307915</v>
      </c>
      <c r="E10" s="30">
        <f>_xlfn.XLOOKUP(B10,_data_calc!$A:$A,_data_calc!$D:$D,0)</f>
        <v>311</v>
      </c>
      <c r="F10" s="54">
        <f>_xlfn.XLOOKUP(B10,_data_calc!$A:$A,_data_calc!$G:$G,0)/E10</f>
        <v>4.1800643086816719E-2</v>
      </c>
    </row>
  </sheetData>
  <phoneticPr fontId="21" type="noConversion"/>
  <conditionalFormatting sqref="D6:D10">
    <cfRule type="dataBar" priority="1">
      <dataBar>
        <cfvo type="min"/>
        <cfvo type="max"/>
        <color rgb="FF2E8B8B"/>
      </dataBar>
    </cfRule>
  </conditionalFormatting>
  <conditionalFormatting sqref="F6:F10">
    <cfRule type="iconSet" priority="2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2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2" customWidth="1"/>
    <col min="2" max="2" width="12" customWidth="1"/>
    <col min="3" max="5" width="18" customWidth="1"/>
    <col min="6" max="6" width="2" customWidth="1"/>
  </cols>
  <sheetData>
    <row r="2" spans="2:5" ht="47" x14ac:dyDescent="0.3">
      <c r="B2" s="27" t="s">
        <v>332</v>
      </c>
      <c r="C2" s="2"/>
      <c r="D2" s="2"/>
      <c r="E2" s="2"/>
    </row>
    <row r="3" spans="2:5" x14ac:dyDescent="0.3">
      <c r="B3" s="28" t="s">
        <v>333</v>
      </c>
      <c r="C3" s="2"/>
      <c r="D3" s="2"/>
      <c r="E3" s="2"/>
    </row>
    <row r="5" spans="2:5" x14ac:dyDescent="0.3">
      <c r="B5" s="10" t="s">
        <v>334</v>
      </c>
      <c r="C5" s="10" t="s">
        <v>335</v>
      </c>
      <c r="D5" s="10" t="s">
        <v>336</v>
      </c>
      <c r="E5" s="10" t="s">
        <v>337</v>
      </c>
    </row>
    <row r="6" spans="2:5" ht="15" x14ac:dyDescent="0.35">
      <c r="B6" s="24" t="s">
        <v>138</v>
      </c>
      <c r="C6" s="40">
        <f>_xlfn.XLOOKUP(B6,_data_calc!$A:$A,_data_calc!$B:$B,0)</f>
        <v>8.8000000000000007</v>
      </c>
      <c r="D6" s="40">
        <f>_xlfn.XLOOKUP(B6,_data_calc!$A:$A,_data_calc!$C:$C,0)</f>
        <v>19.100000000000001</v>
      </c>
      <c r="E6" s="40">
        <f t="shared" ref="E6:E20" si="0">D6-C6</f>
        <v>10.3</v>
      </c>
    </row>
    <row r="7" spans="2:5" ht="15" x14ac:dyDescent="0.35">
      <c r="B7" s="24" t="s">
        <v>146</v>
      </c>
      <c r="C7" s="40">
        <f>_xlfn.XLOOKUP(B7,_data_calc!$A:$A,_data_calc!$B:$B,0)</f>
        <v>12</v>
      </c>
      <c r="D7" s="40">
        <f>_xlfn.XLOOKUP(B7,_data_calc!$A:$A,_data_calc!$C:$C,0)</f>
        <v>24.5</v>
      </c>
      <c r="E7" s="40">
        <f t="shared" si="0"/>
        <v>12.5</v>
      </c>
    </row>
    <row r="8" spans="2:5" ht="15" x14ac:dyDescent="0.35">
      <c r="B8" s="24" t="s">
        <v>338</v>
      </c>
      <c r="C8" s="40">
        <f>_xlfn.XLOOKUP(B8,_data_calc!$A:$A,_data_calc!$B:$B,0)</f>
        <v>12</v>
      </c>
      <c r="D8" s="40">
        <f>_xlfn.XLOOKUP(B8,_data_calc!$A:$A,_data_calc!$C:$C,0)</f>
        <v>24.6</v>
      </c>
      <c r="E8" s="40">
        <f t="shared" si="0"/>
        <v>12.600000000000001</v>
      </c>
    </row>
    <row r="9" spans="2:5" ht="15" x14ac:dyDescent="0.35">
      <c r="B9" s="24" t="s">
        <v>339</v>
      </c>
      <c r="C9" s="40">
        <f>_xlfn.XLOOKUP(B9,_data_calc!$A:$A,_data_calc!$B:$B,0)</f>
        <v>13</v>
      </c>
      <c r="D9" s="40">
        <f>_xlfn.XLOOKUP(B9,_data_calc!$A:$A,_data_calc!$C:$C,0)</f>
        <v>24.3</v>
      </c>
      <c r="E9" s="40">
        <f t="shared" si="0"/>
        <v>11.3</v>
      </c>
    </row>
    <row r="10" spans="2:5" ht="15" x14ac:dyDescent="0.35">
      <c r="B10" s="24" t="s">
        <v>142</v>
      </c>
      <c r="C10" s="40">
        <f>_xlfn.XLOOKUP(B10,_data_calc!$A:$A,_data_calc!$B:$B,0)</f>
        <v>15</v>
      </c>
      <c r="D10" s="40">
        <f>_xlfn.XLOOKUP(B10,_data_calc!$A:$A,_data_calc!$C:$C,0)</f>
        <v>25.8</v>
      </c>
      <c r="E10" s="40">
        <f t="shared" si="0"/>
        <v>10.8</v>
      </c>
    </row>
    <row r="11" spans="2:5" ht="15" x14ac:dyDescent="0.35">
      <c r="B11" s="24" t="s">
        <v>340</v>
      </c>
      <c r="C11" s="40">
        <f>_xlfn.XLOOKUP(B11,_data_calc!$A:$A,_data_calc!$B:$B,0)</f>
        <v>15.3</v>
      </c>
      <c r="D11" s="40">
        <f>_xlfn.XLOOKUP(B11,_data_calc!$A:$A,_data_calc!$C:$C,0)</f>
        <v>26.4</v>
      </c>
      <c r="E11" s="40">
        <f t="shared" si="0"/>
        <v>11.099999999999998</v>
      </c>
    </row>
    <row r="12" spans="2:5" ht="15" x14ac:dyDescent="0.35">
      <c r="B12" s="24" t="s">
        <v>341</v>
      </c>
      <c r="C12" s="40">
        <f>_xlfn.XLOOKUP(B12,_data_calc!$A:$A,_data_calc!$B:$B,0)</f>
        <v>15.3</v>
      </c>
      <c r="D12" s="40">
        <f>_xlfn.XLOOKUP(B12,_data_calc!$A:$A,_data_calc!$C:$C,0)</f>
        <v>28.5</v>
      </c>
      <c r="E12" s="40">
        <f t="shared" si="0"/>
        <v>13.2</v>
      </c>
    </row>
    <row r="13" spans="2:5" ht="15" x14ac:dyDescent="0.35">
      <c r="B13" s="24" t="s">
        <v>342</v>
      </c>
      <c r="C13" s="40">
        <f>_xlfn.XLOOKUP(B13,_data_calc!$A:$A,_data_calc!$B:$B,0)</f>
        <v>15.6</v>
      </c>
      <c r="D13" s="40">
        <f>_xlfn.XLOOKUP(B13,_data_calc!$A:$A,_data_calc!$C:$C,0)</f>
        <v>27.1</v>
      </c>
      <c r="E13" s="40">
        <f t="shared" si="0"/>
        <v>11.500000000000002</v>
      </c>
    </row>
    <row r="14" spans="2:5" ht="15" x14ac:dyDescent="0.35">
      <c r="B14" s="24" t="s">
        <v>343</v>
      </c>
      <c r="C14" s="40">
        <f>_xlfn.XLOOKUP(B14,_data_calc!$A:$A,_data_calc!$B:$B,0)</f>
        <v>15.6</v>
      </c>
      <c r="D14" s="40">
        <f>_xlfn.XLOOKUP(B14,_data_calc!$A:$A,_data_calc!$C:$C,0)</f>
        <v>26</v>
      </c>
      <c r="E14" s="40">
        <f t="shared" si="0"/>
        <v>10.4</v>
      </c>
    </row>
    <row r="15" spans="2:5" ht="15" x14ac:dyDescent="0.35">
      <c r="B15" s="24" t="s">
        <v>344</v>
      </c>
      <c r="C15" s="40">
        <f>_xlfn.XLOOKUP(B15,_data_calc!$A:$A,_data_calc!$B:$B,0)</f>
        <v>15.8</v>
      </c>
      <c r="D15" s="40">
        <f>_xlfn.XLOOKUP(B15,_data_calc!$A:$A,_data_calc!$C:$C,0)</f>
        <v>25.6</v>
      </c>
      <c r="E15" s="40">
        <f t="shared" si="0"/>
        <v>9.8000000000000007</v>
      </c>
    </row>
    <row r="16" spans="2:5" ht="15" x14ac:dyDescent="0.35">
      <c r="B16" s="24" t="s">
        <v>345</v>
      </c>
      <c r="C16" s="40">
        <f>_xlfn.XLOOKUP(B16,_data_calc!$A:$A,_data_calc!$B:$B,0)</f>
        <v>17.7</v>
      </c>
      <c r="D16" s="40">
        <f>_xlfn.XLOOKUP(B16,_data_calc!$A:$A,_data_calc!$C:$C,0)</f>
        <v>29.1</v>
      </c>
      <c r="E16" s="40">
        <f t="shared" si="0"/>
        <v>11.400000000000002</v>
      </c>
    </row>
    <row r="17" spans="2:5" ht="15" x14ac:dyDescent="0.35">
      <c r="B17" s="24" t="s">
        <v>346</v>
      </c>
      <c r="C17" s="40">
        <f>_xlfn.XLOOKUP(B17,_data_calc!$A:$A,_data_calc!$B:$B,0)</f>
        <v>18.100000000000001</v>
      </c>
      <c r="D17" s="40">
        <f>_xlfn.XLOOKUP(B17,_data_calc!$A:$A,_data_calc!$C:$C,0)</f>
        <v>31.7</v>
      </c>
      <c r="E17" s="40">
        <f t="shared" si="0"/>
        <v>13.599999999999998</v>
      </c>
    </row>
    <row r="18" spans="2:5" ht="15" x14ac:dyDescent="0.35">
      <c r="B18" s="24" t="s">
        <v>347</v>
      </c>
      <c r="C18" s="40">
        <f>_xlfn.XLOOKUP(B18,_data_calc!$A:$A,_data_calc!$B:$B,0)</f>
        <v>18.399999999999999</v>
      </c>
      <c r="D18" s="40">
        <f>_xlfn.XLOOKUP(B18,_data_calc!$A:$A,_data_calc!$C:$C,0)</f>
        <v>31.1</v>
      </c>
      <c r="E18" s="40">
        <f t="shared" si="0"/>
        <v>12.700000000000003</v>
      </c>
    </row>
    <row r="19" spans="2:5" ht="15" x14ac:dyDescent="0.35">
      <c r="B19" s="24" t="s">
        <v>348</v>
      </c>
      <c r="C19" s="40">
        <f>_xlfn.XLOOKUP(B19,_data_calc!$A:$A,_data_calc!$B:$B,0)</f>
        <v>19.3</v>
      </c>
      <c r="D19" s="40">
        <f>_xlfn.XLOOKUP(B19,_data_calc!$A:$A,_data_calc!$C:$C,0)</f>
        <v>29.4</v>
      </c>
      <c r="E19" s="40">
        <f t="shared" si="0"/>
        <v>10.099999999999998</v>
      </c>
    </row>
    <row r="20" spans="2:5" ht="15" x14ac:dyDescent="0.35">
      <c r="B20" s="24" t="s">
        <v>349</v>
      </c>
      <c r="C20" s="40">
        <f>_xlfn.XLOOKUP(B20,_data_calc!$A:$A,_data_calc!$B:$B,0)</f>
        <v>19.3</v>
      </c>
      <c r="D20" s="40">
        <f>_xlfn.XLOOKUP(B20,_data_calc!$A:$A,_data_calc!$C:$C,0)</f>
        <v>32.200000000000003</v>
      </c>
      <c r="E20" s="40">
        <f t="shared" si="0"/>
        <v>12.900000000000002</v>
      </c>
    </row>
  </sheetData>
  <phoneticPr fontId="21" type="noConversion"/>
  <conditionalFormatting sqref="C6:C20">
    <cfRule type="dataBar" priority="2">
      <dataBar>
        <cfvo type="min"/>
        <cfvo type="max"/>
        <color rgb="FF2E8B8B"/>
      </dataBar>
    </cfRule>
  </conditionalFormatting>
  <conditionalFormatting sqref="D6:D20">
    <cfRule type="dataBar" priority="3">
      <dataBar>
        <cfvo type="min"/>
        <cfvo type="max"/>
        <color rgb="FFE07B39"/>
      </dataBar>
    </cfRule>
  </conditionalFormatting>
  <conditionalFormatting sqref="E6:E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K11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2" customWidth="1"/>
    <col min="2" max="2" width="14.796875" bestFit="1" customWidth="1"/>
    <col min="3" max="3" width="10.796875" bestFit="1" customWidth="1"/>
    <col min="4" max="4" width="11.8984375" bestFit="1" customWidth="1"/>
    <col min="5" max="5" width="11.09765625" bestFit="1" customWidth="1"/>
    <col min="6" max="6" width="8.59765625" bestFit="1" customWidth="1"/>
    <col min="7" max="7" width="8" bestFit="1" customWidth="1"/>
    <col min="8" max="8" width="4" customWidth="1"/>
    <col min="9" max="10" width="14" customWidth="1"/>
    <col min="11" max="11" width="12" customWidth="1"/>
    <col min="12" max="12" width="2" customWidth="1"/>
  </cols>
  <sheetData>
    <row r="2" spans="2:11" ht="23.5" x14ac:dyDescent="0.3">
      <c r="B2" s="27" t="s">
        <v>350</v>
      </c>
      <c r="C2" s="2"/>
      <c r="D2" s="2"/>
      <c r="E2" s="2"/>
      <c r="F2" s="2"/>
      <c r="G2" s="2"/>
      <c r="H2" s="2"/>
      <c r="I2" s="2"/>
      <c r="J2" s="2"/>
      <c r="K2" s="2"/>
    </row>
    <row r="4" spans="2:11" ht="15" x14ac:dyDescent="0.35">
      <c r="B4" s="4" t="s">
        <v>351</v>
      </c>
      <c r="I4" s="4" t="s">
        <v>352</v>
      </c>
    </row>
    <row r="5" spans="2:11" x14ac:dyDescent="0.3">
      <c r="B5" s="63" t="s">
        <v>399</v>
      </c>
      <c r="C5" s="63" t="s">
        <v>398</v>
      </c>
      <c r="I5" s="10" t="s">
        <v>334</v>
      </c>
      <c r="J5" s="10" t="s">
        <v>229</v>
      </c>
      <c r="K5" s="10" t="s">
        <v>218</v>
      </c>
    </row>
    <row r="6" spans="2:11" x14ac:dyDescent="0.3">
      <c r="B6" s="63" t="s">
        <v>396</v>
      </c>
      <c r="C6" t="s">
        <v>174</v>
      </c>
      <c r="D6" t="s">
        <v>172</v>
      </c>
      <c r="E6" t="s">
        <v>231</v>
      </c>
      <c r="F6" t="s">
        <v>176</v>
      </c>
      <c r="G6" t="s">
        <v>397</v>
      </c>
      <c r="I6" s="38" t="s">
        <v>138</v>
      </c>
      <c r="J6" s="38" t="s">
        <v>172</v>
      </c>
      <c r="K6" s="30">
        <v>32074</v>
      </c>
    </row>
    <row r="7" spans="2:11" x14ac:dyDescent="0.3">
      <c r="B7" s="64" t="s">
        <v>362</v>
      </c>
      <c r="C7">
        <v>16</v>
      </c>
      <c r="D7">
        <v>61</v>
      </c>
      <c r="E7">
        <v>2</v>
      </c>
      <c r="F7">
        <v>4</v>
      </c>
      <c r="G7">
        <v>83</v>
      </c>
      <c r="I7" s="38" t="s">
        <v>138</v>
      </c>
      <c r="J7" s="38" t="s">
        <v>174</v>
      </c>
      <c r="K7" s="30">
        <v>8205</v>
      </c>
    </row>
    <row r="8" spans="2:11" x14ac:dyDescent="0.3">
      <c r="B8" s="64" t="s">
        <v>358</v>
      </c>
      <c r="C8">
        <v>68</v>
      </c>
      <c r="D8">
        <v>338</v>
      </c>
      <c r="E8">
        <v>5</v>
      </c>
      <c r="F8">
        <v>10</v>
      </c>
      <c r="G8">
        <v>421</v>
      </c>
      <c r="I8" s="38" t="s">
        <v>138</v>
      </c>
      <c r="J8" s="38" t="s">
        <v>176</v>
      </c>
      <c r="K8" s="30">
        <v>1596</v>
      </c>
    </row>
    <row r="9" spans="2:11" x14ac:dyDescent="0.3">
      <c r="B9" s="64" t="s">
        <v>361</v>
      </c>
      <c r="C9">
        <v>21</v>
      </c>
      <c r="D9">
        <v>124</v>
      </c>
      <c r="E9">
        <v>2</v>
      </c>
      <c r="F9">
        <v>4</v>
      </c>
      <c r="G9">
        <v>151</v>
      </c>
      <c r="I9" s="38" t="s">
        <v>138</v>
      </c>
      <c r="J9" s="38" t="s">
        <v>231</v>
      </c>
      <c r="K9" s="30">
        <v>759</v>
      </c>
    </row>
    <row r="10" spans="2:11" x14ac:dyDescent="0.3">
      <c r="B10" s="64" t="s">
        <v>363</v>
      </c>
      <c r="C10">
        <v>20</v>
      </c>
      <c r="D10">
        <v>47</v>
      </c>
      <c r="F10">
        <v>3</v>
      </c>
      <c r="G10">
        <v>70</v>
      </c>
      <c r="I10" s="38" t="s">
        <v>340</v>
      </c>
      <c r="J10" s="38" t="s">
        <v>172</v>
      </c>
      <c r="K10" s="30">
        <v>10253</v>
      </c>
    </row>
    <row r="11" spans="2:11" x14ac:dyDescent="0.3">
      <c r="B11" s="64" t="s">
        <v>348</v>
      </c>
      <c r="C11">
        <v>614</v>
      </c>
      <c r="D11">
        <v>2643</v>
      </c>
      <c r="E11">
        <v>53</v>
      </c>
      <c r="F11">
        <v>176</v>
      </c>
      <c r="G11">
        <v>3486</v>
      </c>
      <c r="I11" s="38" t="s">
        <v>340</v>
      </c>
      <c r="J11" s="38" t="s">
        <v>174</v>
      </c>
      <c r="K11" s="30">
        <v>2163</v>
      </c>
    </row>
    <row r="12" spans="2:11" x14ac:dyDescent="0.3">
      <c r="B12" s="64" t="s">
        <v>353</v>
      </c>
      <c r="C12">
        <v>205</v>
      </c>
      <c r="D12">
        <v>1083</v>
      </c>
      <c r="E12">
        <v>20</v>
      </c>
      <c r="F12">
        <v>59</v>
      </c>
      <c r="G12">
        <v>1367</v>
      </c>
      <c r="I12" s="38" t="s">
        <v>340</v>
      </c>
      <c r="J12" s="38" t="s">
        <v>176</v>
      </c>
      <c r="K12" s="30">
        <v>547</v>
      </c>
    </row>
    <row r="13" spans="2:11" x14ac:dyDescent="0.3">
      <c r="B13" s="64" t="s">
        <v>339</v>
      </c>
      <c r="C13">
        <v>396</v>
      </c>
      <c r="D13">
        <v>1695</v>
      </c>
      <c r="E13">
        <v>17</v>
      </c>
      <c r="F13">
        <v>79</v>
      </c>
      <c r="G13">
        <v>2187</v>
      </c>
      <c r="I13" s="38" t="s">
        <v>340</v>
      </c>
      <c r="J13" s="38" t="s">
        <v>231</v>
      </c>
      <c r="K13" s="30">
        <v>185</v>
      </c>
    </row>
    <row r="14" spans="2:11" x14ac:dyDescent="0.3">
      <c r="B14" s="64" t="s">
        <v>344</v>
      </c>
      <c r="C14">
        <v>403</v>
      </c>
      <c r="D14">
        <v>1568</v>
      </c>
      <c r="E14">
        <v>27</v>
      </c>
      <c r="F14">
        <v>82</v>
      </c>
      <c r="G14">
        <v>2080</v>
      </c>
      <c r="I14" s="38" t="s">
        <v>146</v>
      </c>
      <c r="J14" s="38" t="s">
        <v>172</v>
      </c>
      <c r="K14" s="30">
        <v>9030</v>
      </c>
    </row>
    <row r="15" spans="2:11" x14ac:dyDescent="0.3">
      <c r="B15" s="64" t="s">
        <v>342</v>
      </c>
      <c r="C15">
        <v>449</v>
      </c>
      <c r="D15">
        <v>1514</v>
      </c>
      <c r="E15">
        <v>22</v>
      </c>
      <c r="F15">
        <v>76</v>
      </c>
      <c r="G15">
        <v>2061</v>
      </c>
      <c r="I15" s="38" t="s">
        <v>146</v>
      </c>
      <c r="J15" s="38" t="s">
        <v>174</v>
      </c>
      <c r="K15" s="30">
        <v>2304</v>
      </c>
    </row>
    <row r="16" spans="2:11" x14ac:dyDescent="0.3">
      <c r="B16" s="64" t="s">
        <v>355</v>
      </c>
      <c r="C16">
        <v>203</v>
      </c>
      <c r="D16">
        <v>534</v>
      </c>
      <c r="E16">
        <v>4</v>
      </c>
      <c r="F16">
        <v>19</v>
      </c>
      <c r="G16">
        <v>760</v>
      </c>
      <c r="I16" s="38" t="s">
        <v>146</v>
      </c>
      <c r="J16" s="38" t="s">
        <v>176</v>
      </c>
      <c r="K16" s="30">
        <v>438</v>
      </c>
    </row>
    <row r="17" spans="2:11" x14ac:dyDescent="0.3">
      <c r="B17" s="64" t="s">
        <v>146</v>
      </c>
      <c r="C17">
        <v>2304</v>
      </c>
      <c r="D17">
        <v>9030</v>
      </c>
      <c r="E17">
        <v>139</v>
      </c>
      <c r="F17">
        <v>438</v>
      </c>
      <c r="G17">
        <v>11911</v>
      </c>
      <c r="I17" s="38" t="s">
        <v>146</v>
      </c>
      <c r="J17" s="38" t="s">
        <v>231</v>
      </c>
      <c r="K17" s="30">
        <v>139</v>
      </c>
    </row>
    <row r="18" spans="2:11" x14ac:dyDescent="0.3">
      <c r="B18" s="64" t="s">
        <v>343</v>
      </c>
      <c r="C18">
        <v>175</v>
      </c>
      <c r="D18">
        <v>516</v>
      </c>
      <c r="E18">
        <v>11</v>
      </c>
      <c r="F18">
        <v>24</v>
      </c>
      <c r="G18">
        <v>726</v>
      </c>
      <c r="I18" s="38" t="s">
        <v>341</v>
      </c>
      <c r="J18" s="38" t="s">
        <v>172</v>
      </c>
      <c r="K18" s="30">
        <v>3967</v>
      </c>
    </row>
    <row r="19" spans="2:11" x14ac:dyDescent="0.3">
      <c r="B19" s="64" t="s">
        <v>346</v>
      </c>
      <c r="C19">
        <v>238</v>
      </c>
      <c r="D19">
        <v>657</v>
      </c>
      <c r="E19">
        <v>6</v>
      </c>
      <c r="F19">
        <v>25</v>
      </c>
      <c r="G19">
        <v>926</v>
      </c>
      <c r="I19" s="38" t="s">
        <v>341</v>
      </c>
      <c r="J19" s="38" t="s">
        <v>174</v>
      </c>
      <c r="K19" s="30">
        <v>1359</v>
      </c>
    </row>
    <row r="20" spans="2:11" x14ac:dyDescent="0.3">
      <c r="B20" s="64" t="s">
        <v>354</v>
      </c>
      <c r="C20">
        <v>215</v>
      </c>
      <c r="D20">
        <v>724</v>
      </c>
      <c r="E20">
        <v>16</v>
      </c>
      <c r="F20">
        <v>41</v>
      </c>
      <c r="G20">
        <v>996</v>
      </c>
      <c r="I20" s="38" t="s">
        <v>341</v>
      </c>
      <c r="J20" s="38" t="s">
        <v>176</v>
      </c>
      <c r="K20" s="30">
        <v>179</v>
      </c>
    </row>
    <row r="21" spans="2:11" x14ac:dyDescent="0.3">
      <c r="B21" s="64" t="s">
        <v>356</v>
      </c>
      <c r="C21">
        <v>93</v>
      </c>
      <c r="D21">
        <v>421</v>
      </c>
      <c r="E21">
        <v>13</v>
      </c>
      <c r="F21">
        <v>23</v>
      </c>
      <c r="G21">
        <v>550</v>
      </c>
      <c r="I21" s="38" t="s">
        <v>341</v>
      </c>
      <c r="J21" s="38" t="s">
        <v>231</v>
      </c>
      <c r="K21" s="30">
        <v>76</v>
      </c>
    </row>
    <row r="22" spans="2:11" x14ac:dyDescent="0.3">
      <c r="B22" s="64" t="s">
        <v>347</v>
      </c>
      <c r="C22">
        <v>277</v>
      </c>
      <c r="D22">
        <v>1326</v>
      </c>
      <c r="E22">
        <v>19</v>
      </c>
      <c r="F22">
        <v>73</v>
      </c>
      <c r="G22">
        <v>1695</v>
      </c>
      <c r="I22" s="38" t="s">
        <v>338</v>
      </c>
      <c r="J22" s="38" t="s">
        <v>172</v>
      </c>
      <c r="K22" s="30">
        <v>3776</v>
      </c>
    </row>
    <row r="23" spans="2:11" x14ac:dyDescent="0.3">
      <c r="B23" s="64" t="s">
        <v>357</v>
      </c>
      <c r="C23">
        <v>94</v>
      </c>
      <c r="D23">
        <v>383</v>
      </c>
      <c r="E23">
        <v>11</v>
      </c>
      <c r="F23">
        <v>27</v>
      </c>
      <c r="G23">
        <v>515</v>
      </c>
      <c r="I23" s="38" t="s">
        <v>338</v>
      </c>
      <c r="J23" s="38" t="s">
        <v>174</v>
      </c>
      <c r="K23" s="30">
        <v>1118</v>
      </c>
    </row>
    <row r="24" spans="2:11" x14ac:dyDescent="0.3">
      <c r="B24" s="64" t="s">
        <v>338</v>
      </c>
      <c r="C24">
        <v>1118</v>
      </c>
      <c r="D24">
        <v>3776</v>
      </c>
      <c r="E24">
        <v>74</v>
      </c>
      <c r="F24">
        <v>199</v>
      </c>
      <c r="G24">
        <v>5167</v>
      </c>
      <c r="I24" s="38" t="s">
        <v>338</v>
      </c>
      <c r="J24" s="38" t="s">
        <v>176</v>
      </c>
      <c r="K24" s="30">
        <v>199</v>
      </c>
    </row>
    <row r="25" spans="2:11" x14ac:dyDescent="0.3">
      <c r="B25" s="64" t="s">
        <v>340</v>
      </c>
      <c r="C25">
        <v>2163</v>
      </c>
      <c r="D25">
        <v>10253</v>
      </c>
      <c r="E25">
        <v>185</v>
      </c>
      <c r="F25">
        <v>547</v>
      </c>
      <c r="G25">
        <v>13148</v>
      </c>
      <c r="I25" s="38" t="s">
        <v>338</v>
      </c>
      <c r="J25" s="38" t="s">
        <v>231</v>
      </c>
      <c r="K25" s="30">
        <v>74</v>
      </c>
    </row>
    <row r="26" spans="2:11" x14ac:dyDescent="0.3">
      <c r="B26" s="64" t="s">
        <v>349</v>
      </c>
      <c r="C26">
        <v>80</v>
      </c>
      <c r="D26">
        <v>390</v>
      </c>
      <c r="E26">
        <v>9</v>
      </c>
      <c r="F26">
        <v>21</v>
      </c>
      <c r="G26">
        <v>500</v>
      </c>
      <c r="I26" s="38" t="s">
        <v>142</v>
      </c>
      <c r="J26" s="38" t="s">
        <v>172</v>
      </c>
      <c r="K26" s="30">
        <v>2705</v>
      </c>
    </row>
    <row r="27" spans="2:11" x14ac:dyDescent="0.3">
      <c r="B27" s="64" t="s">
        <v>360</v>
      </c>
      <c r="C27">
        <v>64</v>
      </c>
      <c r="D27">
        <v>184</v>
      </c>
      <c r="E27">
        <v>3</v>
      </c>
      <c r="F27">
        <v>7</v>
      </c>
      <c r="G27">
        <v>258</v>
      </c>
      <c r="I27" s="38" t="s">
        <v>142</v>
      </c>
      <c r="J27" s="38" t="s">
        <v>174</v>
      </c>
      <c r="K27" s="30">
        <v>840</v>
      </c>
    </row>
    <row r="28" spans="2:11" x14ac:dyDescent="0.3">
      <c r="B28" s="64" t="s">
        <v>364</v>
      </c>
      <c r="C28">
        <v>13</v>
      </c>
      <c r="D28">
        <v>33</v>
      </c>
      <c r="G28">
        <v>46</v>
      </c>
      <c r="I28" s="38" t="s">
        <v>142</v>
      </c>
      <c r="J28" s="38" t="s">
        <v>176</v>
      </c>
      <c r="K28" s="30">
        <v>127</v>
      </c>
    </row>
    <row r="29" spans="2:11" x14ac:dyDescent="0.3">
      <c r="B29" s="64" t="s">
        <v>341</v>
      </c>
      <c r="C29">
        <v>1359</v>
      </c>
      <c r="D29">
        <v>3967</v>
      </c>
      <c r="E29">
        <v>76</v>
      </c>
      <c r="F29">
        <v>179</v>
      </c>
      <c r="G29">
        <v>5581</v>
      </c>
      <c r="I29" s="38" t="s">
        <v>142</v>
      </c>
      <c r="J29" s="38" t="s">
        <v>231</v>
      </c>
      <c r="K29" s="30">
        <v>46</v>
      </c>
    </row>
    <row r="30" spans="2:11" x14ac:dyDescent="0.3">
      <c r="B30" s="64" t="s">
        <v>142</v>
      </c>
      <c r="C30">
        <v>840</v>
      </c>
      <c r="D30">
        <v>2705</v>
      </c>
      <c r="E30">
        <v>46</v>
      </c>
      <c r="F30">
        <v>127</v>
      </c>
      <c r="G30">
        <v>3718</v>
      </c>
      <c r="I30" s="38" t="s">
        <v>348</v>
      </c>
      <c r="J30" s="38" t="s">
        <v>172</v>
      </c>
      <c r="K30" s="30">
        <v>2643</v>
      </c>
    </row>
    <row r="31" spans="2:11" x14ac:dyDescent="0.3">
      <c r="B31" s="64" t="s">
        <v>359</v>
      </c>
      <c r="C31">
        <v>75</v>
      </c>
      <c r="D31">
        <v>263</v>
      </c>
      <c r="E31">
        <v>5</v>
      </c>
      <c r="F31">
        <v>15</v>
      </c>
      <c r="G31">
        <v>358</v>
      </c>
      <c r="I31" s="38" t="s">
        <v>348</v>
      </c>
      <c r="J31" s="38" t="s">
        <v>174</v>
      </c>
      <c r="K31" s="30">
        <v>614</v>
      </c>
    </row>
    <row r="32" spans="2:11" x14ac:dyDescent="0.3">
      <c r="B32" s="64" t="s">
        <v>138</v>
      </c>
      <c r="C32">
        <v>8205</v>
      </c>
      <c r="D32">
        <v>32074</v>
      </c>
      <c r="E32">
        <v>759</v>
      </c>
      <c r="F32">
        <v>1596</v>
      </c>
      <c r="G32">
        <v>42634</v>
      </c>
      <c r="I32" s="38" t="s">
        <v>348</v>
      </c>
      <c r="J32" s="38" t="s">
        <v>176</v>
      </c>
      <c r="K32" s="30">
        <v>176</v>
      </c>
    </row>
    <row r="33" spans="2:11" x14ac:dyDescent="0.3">
      <c r="B33" s="64" t="s">
        <v>345</v>
      </c>
      <c r="C33">
        <v>76</v>
      </c>
      <c r="D33">
        <v>196</v>
      </c>
      <c r="E33">
        <v>4</v>
      </c>
      <c r="F33">
        <v>12</v>
      </c>
      <c r="G33">
        <v>288</v>
      </c>
      <c r="I33" s="38" t="s">
        <v>348</v>
      </c>
      <c r="J33" s="38" t="s">
        <v>231</v>
      </c>
      <c r="K33" s="30">
        <v>53</v>
      </c>
    </row>
    <row r="34" spans="2:11" x14ac:dyDescent="0.3">
      <c r="B34" s="64" t="s">
        <v>397</v>
      </c>
      <c r="C34">
        <v>19784</v>
      </c>
      <c r="D34">
        <v>76505</v>
      </c>
      <c r="E34">
        <v>1528</v>
      </c>
      <c r="F34">
        <v>3866</v>
      </c>
      <c r="G34">
        <v>101683</v>
      </c>
      <c r="I34" s="38" t="s">
        <v>339</v>
      </c>
      <c r="J34" s="38" t="s">
        <v>172</v>
      </c>
      <c r="K34" s="30">
        <v>1695</v>
      </c>
    </row>
    <row r="35" spans="2:11" x14ac:dyDescent="0.3">
      <c r="I35" s="38" t="s">
        <v>339</v>
      </c>
      <c r="J35" s="38" t="s">
        <v>174</v>
      </c>
      <c r="K35" s="30">
        <v>396</v>
      </c>
    </row>
    <row r="36" spans="2:11" x14ac:dyDescent="0.3">
      <c r="I36" s="38" t="s">
        <v>339</v>
      </c>
      <c r="J36" s="38" t="s">
        <v>176</v>
      </c>
      <c r="K36" s="30">
        <v>79</v>
      </c>
    </row>
    <row r="37" spans="2:11" x14ac:dyDescent="0.3">
      <c r="I37" s="38" t="s">
        <v>339</v>
      </c>
      <c r="J37" s="38" t="s">
        <v>231</v>
      </c>
      <c r="K37" s="30">
        <v>17</v>
      </c>
    </row>
    <row r="38" spans="2:11" x14ac:dyDescent="0.3">
      <c r="I38" s="38" t="s">
        <v>344</v>
      </c>
      <c r="J38" s="38" t="s">
        <v>172</v>
      </c>
      <c r="K38" s="30">
        <v>1568</v>
      </c>
    </row>
    <row r="39" spans="2:11" x14ac:dyDescent="0.3">
      <c r="I39" s="38" t="s">
        <v>344</v>
      </c>
      <c r="J39" s="38" t="s">
        <v>174</v>
      </c>
      <c r="K39" s="30">
        <v>403</v>
      </c>
    </row>
    <row r="40" spans="2:11" x14ac:dyDescent="0.3">
      <c r="I40" s="38" t="s">
        <v>344</v>
      </c>
      <c r="J40" s="38" t="s">
        <v>176</v>
      </c>
      <c r="K40" s="30">
        <v>82</v>
      </c>
    </row>
    <row r="41" spans="2:11" x14ac:dyDescent="0.3">
      <c r="I41" s="38" t="s">
        <v>344</v>
      </c>
      <c r="J41" s="38" t="s">
        <v>231</v>
      </c>
      <c r="K41" s="30">
        <v>27</v>
      </c>
    </row>
    <row r="42" spans="2:11" x14ac:dyDescent="0.3">
      <c r="I42" s="38" t="s">
        <v>342</v>
      </c>
      <c r="J42" s="38" t="s">
        <v>172</v>
      </c>
      <c r="K42" s="30">
        <v>1514</v>
      </c>
    </row>
    <row r="43" spans="2:11" x14ac:dyDescent="0.3">
      <c r="I43" s="38" t="s">
        <v>342</v>
      </c>
      <c r="J43" s="38" t="s">
        <v>174</v>
      </c>
      <c r="K43" s="30">
        <v>449</v>
      </c>
    </row>
    <row r="44" spans="2:11" x14ac:dyDescent="0.3">
      <c r="I44" s="38" t="s">
        <v>342</v>
      </c>
      <c r="J44" s="38" t="s">
        <v>176</v>
      </c>
      <c r="K44" s="30">
        <v>76</v>
      </c>
    </row>
    <row r="45" spans="2:11" x14ac:dyDescent="0.3">
      <c r="I45" s="38" t="s">
        <v>342</v>
      </c>
      <c r="J45" s="38" t="s">
        <v>231</v>
      </c>
      <c r="K45" s="30">
        <v>22</v>
      </c>
    </row>
    <row r="46" spans="2:11" x14ac:dyDescent="0.3">
      <c r="I46" s="38" t="s">
        <v>347</v>
      </c>
      <c r="J46" s="38" t="s">
        <v>172</v>
      </c>
      <c r="K46" s="30">
        <v>1326</v>
      </c>
    </row>
    <row r="47" spans="2:11" x14ac:dyDescent="0.3">
      <c r="I47" s="38" t="s">
        <v>347</v>
      </c>
      <c r="J47" s="38" t="s">
        <v>174</v>
      </c>
      <c r="K47" s="30">
        <v>277</v>
      </c>
    </row>
    <row r="48" spans="2:11" x14ac:dyDescent="0.3">
      <c r="I48" s="38" t="s">
        <v>347</v>
      </c>
      <c r="J48" s="38" t="s">
        <v>176</v>
      </c>
      <c r="K48" s="30">
        <v>73</v>
      </c>
    </row>
    <row r="49" spans="9:11" x14ac:dyDescent="0.3">
      <c r="I49" s="38" t="s">
        <v>347</v>
      </c>
      <c r="J49" s="38" t="s">
        <v>231</v>
      </c>
      <c r="K49" s="30">
        <v>19</v>
      </c>
    </row>
    <row r="50" spans="9:11" x14ac:dyDescent="0.3">
      <c r="I50" s="38" t="s">
        <v>353</v>
      </c>
      <c r="J50" s="38" t="s">
        <v>172</v>
      </c>
      <c r="K50" s="30">
        <v>1083</v>
      </c>
    </row>
    <row r="51" spans="9:11" x14ac:dyDescent="0.3">
      <c r="I51" s="38" t="s">
        <v>353</v>
      </c>
      <c r="J51" s="38" t="s">
        <v>174</v>
      </c>
      <c r="K51" s="30">
        <v>205</v>
      </c>
    </row>
    <row r="52" spans="9:11" x14ac:dyDescent="0.3">
      <c r="I52" s="38" t="s">
        <v>353</v>
      </c>
      <c r="J52" s="38" t="s">
        <v>176</v>
      </c>
      <c r="K52" s="30">
        <v>59</v>
      </c>
    </row>
    <row r="53" spans="9:11" x14ac:dyDescent="0.3">
      <c r="I53" s="38" t="s">
        <v>353</v>
      </c>
      <c r="J53" s="38" t="s">
        <v>231</v>
      </c>
      <c r="K53" s="30">
        <v>20</v>
      </c>
    </row>
    <row r="54" spans="9:11" x14ac:dyDescent="0.3">
      <c r="I54" s="38" t="s">
        <v>354</v>
      </c>
      <c r="J54" s="38" t="s">
        <v>172</v>
      </c>
      <c r="K54" s="30">
        <v>724</v>
      </c>
    </row>
    <row r="55" spans="9:11" x14ac:dyDescent="0.3">
      <c r="I55" s="38" t="s">
        <v>354</v>
      </c>
      <c r="J55" s="38" t="s">
        <v>174</v>
      </c>
      <c r="K55" s="30">
        <v>215</v>
      </c>
    </row>
    <row r="56" spans="9:11" x14ac:dyDescent="0.3">
      <c r="I56" s="38" t="s">
        <v>354</v>
      </c>
      <c r="J56" s="38" t="s">
        <v>176</v>
      </c>
      <c r="K56" s="30">
        <v>41</v>
      </c>
    </row>
    <row r="57" spans="9:11" x14ac:dyDescent="0.3">
      <c r="I57" s="38" t="s">
        <v>354</v>
      </c>
      <c r="J57" s="38" t="s">
        <v>231</v>
      </c>
      <c r="K57" s="30">
        <v>16</v>
      </c>
    </row>
    <row r="58" spans="9:11" x14ac:dyDescent="0.3">
      <c r="I58" s="38" t="s">
        <v>346</v>
      </c>
      <c r="J58" s="38" t="s">
        <v>172</v>
      </c>
      <c r="K58" s="30">
        <v>657</v>
      </c>
    </row>
    <row r="59" spans="9:11" x14ac:dyDescent="0.3">
      <c r="I59" s="38" t="s">
        <v>346</v>
      </c>
      <c r="J59" s="38" t="s">
        <v>174</v>
      </c>
      <c r="K59" s="30">
        <v>238</v>
      </c>
    </row>
    <row r="60" spans="9:11" x14ac:dyDescent="0.3">
      <c r="I60" s="38" t="s">
        <v>346</v>
      </c>
      <c r="J60" s="38" t="s">
        <v>176</v>
      </c>
      <c r="K60" s="30">
        <v>25</v>
      </c>
    </row>
    <row r="61" spans="9:11" x14ac:dyDescent="0.3">
      <c r="I61" s="38" t="s">
        <v>346</v>
      </c>
      <c r="J61" s="38" t="s">
        <v>231</v>
      </c>
      <c r="K61" s="30">
        <v>6</v>
      </c>
    </row>
    <row r="62" spans="9:11" x14ac:dyDescent="0.3">
      <c r="I62" s="38" t="s">
        <v>355</v>
      </c>
      <c r="J62" s="38" t="s">
        <v>172</v>
      </c>
      <c r="K62" s="30">
        <v>534</v>
      </c>
    </row>
    <row r="63" spans="9:11" x14ac:dyDescent="0.3">
      <c r="I63" s="38" t="s">
        <v>355</v>
      </c>
      <c r="J63" s="38" t="s">
        <v>174</v>
      </c>
      <c r="K63" s="30">
        <v>203</v>
      </c>
    </row>
    <row r="64" spans="9:11" x14ac:dyDescent="0.3">
      <c r="I64" s="38" t="s">
        <v>355</v>
      </c>
      <c r="J64" s="38" t="s">
        <v>176</v>
      </c>
      <c r="K64" s="30">
        <v>19</v>
      </c>
    </row>
    <row r="65" spans="9:11" x14ac:dyDescent="0.3">
      <c r="I65" s="38" t="s">
        <v>355</v>
      </c>
      <c r="J65" s="38" t="s">
        <v>231</v>
      </c>
      <c r="K65" s="30">
        <v>4</v>
      </c>
    </row>
    <row r="66" spans="9:11" x14ac:dyDescent="0.3">
      <c r="I66" s="38" t="s">
        <v>343</v>
      </c>
      <c r="J66" s="38" t="s">
        <v>172</v>
      </c>
      <c r="K66" s="30">
        <v>516</v>
      </c>
    </row>
    <row r="67" spans="9:11" x14ac:dyDescent="0.3">
      <c r="I67" s="38" t="s">
        <v>343</v>
      </c>
      <c r="J67" s="38" t="s">
        <v>174</v>
      </c>
      <c r="K67" s="30">
        <v>175</v>
      </c>
    </row>
    <row r="68" spans="9:11" x14ac:dyDescent="0.3">
      <c r="I68" s="38" t="s">
        <v>343</v>
      </c>
      <c r="J68" s="38" t="s">
        <v>176</v>
      </c>
      <c r="K68" s="30">
        <v>24</v>
      </c>
    </row>
    <row r="69" spans="9:11" x14ac:dyDescent="0.3">
      <c r="I69" s="38" t="s">
        <v>343</v>
      </c>
      <c r="J69" s="38" t="s">
        <v>231</v>
      </c>
      <c r="K69" s="30">
        <v>11</v>
      </c>
    </row>
    <row r="70" spans="9:11" x14ac:dyDescent="0.3">
      <c r="I70" s="38" t="s">
        <v>356</v>
      </c>
      <c r="J70" s="38" t="s">
        <v>172</v>
      </c>
      <c r="K70" s="30">
        <v>421</v>
      </c>
    </row>
    <row r="71" spans="9:11" x14ac:dyDescent="0.3">
      <c r="I71" s="38" t="s">
        <v>356</v>
      </c>
      <c r="J71" s="38" t="s">
        <v>174</v>
      </c>
      <c r="K71" s="30">
        <v>93</v>
      </c>
    </row>
    <row r="72" spans="9:11" x14ac:dyDescent="0.3">
      <c r="I72" s="38" t="s">
        <v>356</v>
      </c>
      <c r="J72" s="38" t="s">
        <v>176</v>
      </c>
      <c r="K72" s="30">
        <v>23</v>
      </c>
    </row>
    <row r="73" spans="9:11" x14ac:dyDescent="0.3">
      <c r="I73" s="38" t="s">
        <v>356</v>
      </c>
      <c r="J73" s="38" t="s">
        <v>231</v>
      </c>
      <c r="K73" s="30">
        <v>13</v>
      </c>
    </row>
    <row r="74" spans="9:11" x14ac:dyDescent="0.3">
      <c r="I74" s="38" t="s">
        <v>357</v>
      </c>
      <c r="J74" s="38" t="s">
        <v>172</v>
      </c>
      <c r="K74" s="30">
        <v>383</v>
      </c>
    </row>
    <row r="75" spans="9:11" x14ac:dyDescent="0.3">
      <c r="I75" s="38" t="s">
        <v>357</v>
      </c>
      <c r="J75" s="38" t="s">
        <v>174</v>
      </c>
      <c r="K75" s="30">
        <v>94</v>
      </c>
    </row>
    <row r="76" spans="9:11" x14ac:dyDescent="0.3">
      <c r="I76" s="38" t="s">
        <v>357</v>
      </c>
      <c r="J76" s="38" t="s">
        <v>176</v>
      </c>
      <c r="K76" s="30">
        <v>27</v>
      </c>
    </row>
    <row r="77" spans="9:11" x14ac:dyDescent="0.3">
      <c r="I77" s="38" t="s">
        <v>357</v>
      </c>
      <c r="J77" s="38" t="s">
        <v>231</v>
      </c>
      <c r="K77" s="30">
        <v>11</v>
      </c>
    </row>
    <row r="78" spans="9:11" x14ac:dyDescent="0.3">
      <c r="I78" s="38" t="s">
        <v>349</v>
      </c>
      <c r="J78" s="38" t="s">
        <v>172</v>
      </c>
      <c r="K78" s="30">
        <v>390</v>
      </c>
    </row>
    <row r="79" spans="9:11" x14ac:dyDescent="0.3">
      <c r="I79" s="38" t="s">
        <v>349</v>
      </c>
      <c r="J79" s="38" t="s">
        <v>174</v>
      </c>
      <c r="K79" s="30">
        <v>80</v>
      </c>
    </row>
    <row r="80" spans="9:11" x14ac:dyDescent="0.3">
      <c r="I80" s="38" t="s">
        <v>349</v>
      </c>
      <c r="J80" s="38" t="s">
        <v>176</v>
      </c>
      <c r="K80" s="30">
        <v>21</v>
      </c>
    </row>
    <row r="81" spans="9:11" x14ac:dyDescent="0.3">
      <c r="I81" s="38" t="s">
        <v>349</v>
      </c>
      <c r="J81" s="38" t="s">
        <v>231</v>
      </c>
      <c r="K81" s="30">
        <v>9</v>
      </c>
    </row>
    <row r="82" spans="9:11" x14ac:dyDescent="0.3">
      <c r="I82" s="38" t="s">
        <v>358</v>
      </c>
      <c r="J82" s="38" t="s">
        <v>172</v>
      </c>
      <c r="K82" s="30">
        <v>338</v>
      </c>
    </row>
    <row r="83" spans="9:11" x14ac:dyDescent="0.3">
      <c r="I83" s="38" t="s">
        <v>358</v>
      </c>
      <c r="J83" s="38" t="s">
        <v>174</v>
      </c>
      <c r="K83" s="30">
        <v>68</v>
      </c>
    </row>
    <row r="84" spans="9:11" x14ac:dyDescent="0.3">
      <c r="I84" s="38" t="s">
        <v>358</v>
      </c>
      <c r="J84" s="38" t="s">
        <v>176</v>
      </c>
      <c r="K84" s="30">
        <v>10</v>
      </c>
    </row>
    <row r="85" spans="9:11" x14ac:dyDescent="0.3">
      <c r="I85" s="38" t="s">
        <v>358</v>
      </c>
      <c r="J85" s="38" t="s">
        <v>231</v>
      </c>
      <c r="K85" s="30">
        <v>5</v>
      </c>
    </row>
    <row r="86" spans="9:11" x14ac:dyDescent="0.3">
      <c r="I86" s="38" t="s">
        <v>359</v>
      </c>
      <c r="J86" s="38" t="s">
        <v>172</v>
      </c>
      <c r="K86" s="30">
        <v>263</v>
      </c>
    </row>
    <row r="87" spans="9:11" x14ac:dyDescent="0.3">
      <c r="I87" s="38" t="s">
        <v>359</v>
      </c>
      <c r="J87" s="38" t="s">
        <v>174</v>
      </c>
      <c r="K87" s="30">
        <v>75</v>
      </c>
    </row>
    <row r="88" spans="9:11" x14ac:dyDescent="0.3">
      <c r="I88" s="38" t="s">
        <v>359</v>
      </c>
      <c r="J88" s="38" t="s">
        <v>176</v>
      </c>
      <c r="K88" s="30">
        <v>15</v>
      </c>
    </row>
    <row r="89" spans="9:11" x14ac:dyDescent="0.3">
      <c r="I89" s="38" t="s">
        <v>359</v>
      </c>
      <c r="J89" s="38" t="s">
        <v>231</v>
      </c>
      <c r="K89" s="30">
        <v>5</v>
      </c>
    </row>
    <row r="90" spans="9:11" x14ac:dyDescent="0.3">
      <c r="I90" s="38" t="s">
        <v>345</v>
      </c>
      <c r="J90" s="38" t="s">
        <v>172</v>
      </c>
      <c r="K90" s="30">
        <v>196</v>
      </c>
    </row>
    <row r="91" spans="9:11" x14ac:dyDescent="0.3">
      <c r="I91" s="38" t="s">
        <v>345</v>
      </c>
      <c r="J91" s="38" t="s">
        <v>174</v>
      </c>
      <c r="K91" s="30">
        <v>76</v>
      </c>
    </row>
    <row r="92" spans="9:11" x14ac:dyDescent="0.3">
      <c r="I92" s="38" t="s">
        <v>345</v>
      </c>
      <c r="J92" s="38" t="s">
        <v>176</v>
      </c>
      <c r="K92" s="30">
        <v>12</v>
      </c>
    </row>
    <row r="93" spans="9:11" x14ac:dyDescent="0.3">
      <c r="I93" s="38" t="s">
        <v>345</v>
      </c>
      <c r="J93" s="38" t="s">
        <v>231</v>
      </c>
      <c r="K93" s="30">
        <v>4</v>
      </c>
    </row>
    <row r="94" spans="9:11" x14ac:dyDescent="0.3">
      <c r="I94" s="38" t="s">
        <v>360</v>
      </c>
      <c r="J94" s="38" t="s">
        <v>172</v>
      </c>
      <c r="K94" s="30">
        <v>184</v>
      </c>
    </row>
    <row r="95" spans="9:11" x14ac:dyDescent="0.3">
      <c r="I95" s="38" t="s">
        <v>360</v>
      </c>
      <c r="J95" s="38" t="s">
        <v>174</v>
      </c>
      <c r="K95" s="30">
        <v>64</v>
      </c>
    </row>
    <row r="96" spans="9:11" x14ac:dyDescent="0.3">
      <c r="I96" s="38" t="s">
        <v>360</v>
      </c>
      <c r="J96" s="38" t="s">
        <v>176</v>
      </c>
      <c r="K96" s="30">
        <v>7</v>
      </c>
    </row>
    <row r="97" spans="9:11" x14ac:dyDescent="0.3">
      <c r="I97" s="38" t="s">
        <v>360</v>
      </c>
      <c r="J97" s="38" t="s">
        <v>231</v>
      </c>
      <c r="K97" s="30">
        <v>3</v>
      </c>
    </row>
    <row r="98" spans="9:11" x14ac:dyDescent="0.3">
      <c r="I98" s="38" t="s">
        <v>361</v>
      </c>
      <c r="J98" s="38" t="s">
        <v>172</v>
      </c>
      <c r="K98" s="30">
        <v>124</v>
      </c>
    </row>
    <row r="99" spans="9:11" x14ac:dyDescent="0.3">
      <c r="I99" s="38" t="s">
        <v>361</v>
      </c>
      <c r="J99" s="38" t="s">
        <v>174</v>
      </c>
      <c r="K99" s="30">
        <v>21</v>
      </c>
    </row>
    <row r="100" spans="9:11" x14ac:dyDescent="0.3">
      <c r="I100" s="38" t="s">
        <v>361</v>
      </c>
      <c r="J100" s="38" t="s">
        <v>176</v>
      </c>
      <c r="K100" s="30">
        <v>4</v>
      </c>
    </row>
    <row r="101" spans="9:11" x14ac:dyDescent="0.3">
      <c r="I101" s="38" t="s">
        <v>361</v>
      </c>
      <c r="J101" s="38" t="s">
        <v>231</v>
      </c>
      <c r="K101" s="30">
        <v>2</v>
      </c>
    </row>
    <row r="102" spans="9:11" x14ac:dyDescent="0.3">
      <c r="I102" s="38" t="s">
        <v>362</v>
      </c>
      <c r="J102" s="38" t="s">
        <v>172</v>
      </c>
      <c r="K102" s="30">
        <v>61</v>
      </c>
    </row>
    <row r="103" spans="9:11" x14ac:dyDescent="0.3">
      <c r="I103" s="38" t="s">
        <v>362</v>
      </c>
      <c r="J103" s="38" t="s">
        <v>174</v>
      </c>
      <c r="K103" s="30">
        <v>16</v>
      </c>
    </row>
    <row r="104" spans="9:11" x14ac:dyDescent="0.3">
      <c r="I104" s="38" t="s">
        <v>362</v>
      </c>
      <c r="J104" s="38" t="s">
        <v>176</v>
      </c>
      <c r="K104" s="30">
        <v>4</v>
      </c>
    </row>
    <row r="105" spans="9:11" x14ac:dyDescent="0.3">
      <c r="I105" s="38" t="s">
        <v>362</v>
      </c>
      <c r="J105" s="38" t="s">
        <v>231</v>
      </c>
      <c r="K105" s="30">
        <v>2</v>
      </c>
    </row>
    <row r="106" spans="9:11" x14ac:dyDescent="0.3">
      <c r="I106" s="38" t="s">
        <v>363</v>
      </c>
      <c r="J106" s="38" t="s">
        <v>172</v>
      </c>
      <c r="K106" s="30">
        <v>47</v>
      </c>
    </row>
    <row r="107" spans="9:11" x14ac:dyDescent="0.3">
      <c r="I107" s="38" t="s">
        <v>363</v>
      </c>
      <c r="J107" s="38" t="s">
        <v>174</v>
      </c>
      <c r="K107" s="30">
        <v>20</v>
      </c>
    </row>
    <row r="108" spans="9:11" x14ac:dyDescent="0.3">
      <c r="I108" s="38" t="s">
        <v>363</v>
      </c>
      <c r="J108" s="38" t="s">
        <v>176</v>
      </c>
      <c r="K108" s="30">
        <v>3</v>
      </c>
    </row>
    <row r="109" spans="9:11" x14ac:dyDescent="0.3">
      <c r="I109" s="38" t="s">
        <v>364</v>
      </c>
      <c r="J109" s="38" t="s">
        <v>172</v>
      </c>
      <c r="K109" s="30">
        <v>33</v>
      </c>
    </row>
    <row r="110" spans="9:11" x14ac:dyDescent="0.3">
      <c r="I110" s="38" t="s">
        <v>364</v>
      </c>
      <c r="J110" s="38" t="s">
        <v>174</v>
      </c>
      <c r="K110" s="30">
        <v>13</v>
      </c>
    </row>
  </sheetData>
  <phoneticPr fontId="21" type="noConversion"/>
  <pageMargins left="0.75" right="0.75" top="1" bottom="1" header="0.5" footer="0.5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39"/>
  <sheetViews>
    <sheetView showGridLines="0" workbookViewId="0"/>
  </sheetViews>
  <sheetFormatPr defaultRowHeight="14.5" x14ac:dyDescent="0.3"/>
  <cols>
    <col min="1" max="1" width="32" customWidth="1"/>
    <col min="2" max="2" width="16" customWidth="1"/>
    <col min="3" max="3" width="14" customWidth="1"/>
    <col min="4" max="6" width="16" customWidth="1"/>
    <col min="7" max="8" width="14" customWidth="1"/>
    <col min="9" max="9" width="12" customWidth="1"/>
    <col min="10" max="16" width="10" customWidth="1"/>
  </cols>
  <sheetData>
    <row r="1" spans="1:3" ht="18.5" x14ac:dyDescent="0.45">
      <c r="A1" s="55" t="s">
        <v>365</v>
      </c>
    </row>
    <row r="2" spans="1:3" x14ac:dyDescent="0.3">
      <c r="A2" s="10" t="s">
        <v>204</v>
      </c>
      <c r="B2" s="10" t="s">
        <v>205</v>
      </c>
      <c r="C2" s="10" t="s">
        <v>296</v>
      </c>
    </row>
    <row r="3" spans="1:3" x14ac:dyDescent="0.3">
      <c r="A3" t="s">
        <v>206</v>
      </c>
      <c r="B3" s="56">
        <v>99441</v>
      </c>
      <c r="C3" s="57" t="s">
        <v>299</v>
      </c>
    </row>
    <row r="4" spans="1:3" x14ac:dyDescent="0.3">
      <c r="A4" t="s">
        <v>207</v>
      </c>
      <c r="B4" s="56">
        <v>96096</v>
      </c>
      <c r="C4" s="57" t="s">
        <v>299</v>
      </c>
    </row>
    <row r="5" spans="1:3" x14ac:dyDescent="0.3">
      <c r="A5" t="s">
        <v>208</v>
      </c>
      <c r="B5" s="56">
        <v>3095</v>
      </c>
      <c r="C5" s="57" t="s">
        <v>299</v>
      </c>
    </row>
    <row r="6" spans="1:3" x14ac:dyDescent="0.3">
      <c r="A6" t="s">
        <v>209</v>
      </c>
      <c r="B6" s="56">
        <v>32951</v>
      </c>
      <c r="C6" s="57" t="s">
        <v>299</v>
      </c>
    </row>
    <row r="7" spans="1:3" x14ac:dyDescent="0.3">
      <c r="A7" t="s">
        <v>210</v>
      </c>
      <c r="B7" s="56">
        <v>71</v>
      </c>
      <c r="C7" s="57" t="s">
        <v>299</v>
      </c>
    </row>
    <row r="8" spans="1:3" x14ac:dyDescent="0.3">
      <c r="A8" t="s">
        <v>211</v>
      </c>
      <c r="B8" s="58">
        <v>27</v>
      </c>
      <c r="C8" s="57" t="s">
        <v>302</v>
      </c>
    </row>
    <row r="9" spans="1:3" x14ac:dyDescent="0.3">
      <c r="A9" t="s">
        <v>212</v>
      </c>
      <c r="B9" s="56">
        <v>4119</v>
      </c>
      <c r="C9" s="57" t="s">
        <v>299</v>
      </c>
    </row>
    <row r="10" spans="1:3" x14ac:dyDescent="0.3">
      <c r="A10" t="s">
        <v>213</v>
      </c>
      <c r="B10" s="56">
        <v>13591644</v>
      </c>
      <c r="C10" s="57" t="s">
        <v>299</v>
      </c>
    </row>
    <row r="11" spans="1:3" x14ac:dyDescent="0.3">
      <c r="A11" t="s">
        <v>214</v>
      </c>
      <c r="B11" s="59">
        <v>137.41</v>
      </c>
      <c r="C11" s="57" t="s">
        <v>366</v>
      </c>
    </row>
    <row r="12" spans="1:3" x14ac:dyDescent="0.3">
      <c r="A12" t="s">
        <v>10</v>
      </c>
      <c r="B12" s="60">
        <v>1.8100000000000002E-2</v>
      </c>
      <c r="C12" s="57" t="s">
        <v>367</v>
      </c>
    </row>
    <row r="13" spans="1:3" x14ac:dyDescent="0.3">
      <c r="A13" t="s">
        <v>368</v>
      </c>
      <c r="B13" s="58">
        <v>274</v>
      </c>
      <c r="C13" s="57" t="s">
        <v>302</v>
      </c>
    </row>
    <row r="14" spans="1:3" x14ac:dyDescent="0.3">
      <c r="A14" t="s">
        <v>369</v>
      </c>
      <c r="B14" s="56">
        <v>21975</v>
      </c>
      <c r="C14" s="57" t="s">
        <v>299</v>
      </c>
    </row>
    <row r="15" spans="1:3" x14ac:dyDescent="0.3">
      <c r="A15" t="s">
        <v>370</v>
      </c>
      <c r="B15" s="58">
        <v>213</v>
      </c>
      <c r="C15" s="57" t="s">
        <v>302</v>
      </c>
    </row>
    <row r="16" spans="1:3" x14ac:dyDescent="0.3">
      <c r="A16" t="s">
        <v>371</v>
      </c>
      <c r="B16" s="61">
        <v>15.4</v>
      </c>
      <c r="C16" s="57" t="s">
        <v>372</v>
      </c>
    </row>
    <row r="17" spans="1:5" x14ac:dyDescent="0.3">
      <c r="A17" t="s">
        <v>373</v>
      </c>
      <c r="B17" s="61">
        <v>24</v>
      </c>
      <c r="C17" s="57" t="s">
        <v>372</v>
      </c>
    </row>
    <row r="18" spans="1:5" x14ac:dyDescent="0.3">
      <c r="A18" t="s">
        <v>374</v>
      </c>
      <c r="B18" s="56">
        <v>1693</v>
      </c>
      <c r="C18" s="57" t="s">
        <v>299</v>
      </c>
    </row>
    <row r="21" spans="1:5" ht="18.5" x14ac:dyDescent="0.45">
      <c r="A21" s="55" t="s">
        <v>375</v>
      </c>
    </row>
    <row r="22" spans="1:5" ht="29" x14ac:dyDescent="0.3">
      <c r="A22" s="10" t="s">
        <v>216</v>
      </c>
      <c r="B22" s="10" t="s">
        <v>217</v>
      </c>
      <c r="C22" s="10" t="s">
        <v>218</v>
      </c>
      <c r="D22" s="10" t="s">
        <v>219</v>
      </c>
      <c r="E22" s="10" t="s">
        <v>220</v>
      </c>
    </row>
    <row r="23" spans="1:5" x14ac:dyDescent="0.3">
      <c r="A23">
        <v>2016</v>
      </c>
      <c r="B23">
        <v>0.04</v>
      </c>
      <c r="C23">
        <v>264</v>
      </c>
      <c r="D23">
        <v>3.9</v>
      </c>
      <c r="E23">
        <v>19.600000000000001</v>
      </c>
    </row>
    <row r="24" spans="1:5" x14ac:dyDescent="0.3">
      <c r="A24">
        <v>2017</v>
      </c>
      <c r="B24">
        <v>5.94</v>
      </c>
      <c r="C24">
        <v>43098</v>
      </c>
      <c r="D24">
        <v>4.0999999999999996</v>
      </c>
      <c r="E24">
        <v>12.9</v>
      </c>
    </row>
    <row r="25" spans="1:5" x14ac:dyDescent="0.3">
      <c r="A25">
        <v>2018</v>
      </c>
      <c r="B25">
        <v>7.19</v>
      </c>
      <c r="C25">
        <v>52462</v>
      </c>
      <c r="D25">
        <v>4.0999999999999996</v>
      </c>
      <c r="E25">
        <v>12</v>
      </c>
    </row>
    <row r="28" spans="1:5" ht="18.5" x14ac:dyDescent="0.45">
      <c r="A28" s="55" t="s">
        <v>376</v>
      </c>
    </row>
    <row r="29" spans="1:5" x14ac:dyDescent="0.3">
      <c r="A29" s="10" t="s">
        <v>233</v>
      </c>
      <c r="B29" s="10" t="s">
        <v>234</v>
      </c>
    </row>
    <row r="30" spans="1:5" x14ac:dyDescent="0.3">
      <c r="A30" t="s">
        <v>235</v>
      </c>
      <c r="B30">
        <v>111798.36</v>
      </c>
    </row>
    <row r="31" spans="1:5" x14ac:dyDescent="0.3">
      <c r="A31" t="s">
        <v>236</v>
      </c>
      <c r="B31">
        <v>234223.4</v>
      </c>
    </row>
    <row r="32" spans="1:5" x14ac:dyDescent="0.3">
      <c r="A32" t="s">
        <v>237</v>
      </c>
      <c r="B32">
        <v>359198.85</v>
      </c>
    </row>
    <row r="33" spans="1:2" x14ac:dyDescent="0.3">
      <c r="A33" t="s">
        <v>238</v>
      </c>
      <c r="B33">
        <v>340669.68</v>
      </c>
    </row>
    <row r="34" spans="1:2" x14ac:dyDescent="0.3">
      <c r="A34" t="s">
        <v>239</v>
      </c>
      <c r="B34">
        <v>489338.25</v>
      </c>
    </row>
    <row r="35" spans="1:2" x14ac:dyDescent="0.3">
      <c r="A35" t="s">
        <v>240</v>
      </c>
      <c r="B35">
        <v>421923.37</v>
      </c>
    </row>
    <row r="36" spans="1:2" x14ac:dyDescent="0.3">
      <c r="A36" t="s">
        <v>241</v>
      </c>
      <c r="B36">
        <v>481604.52</v>
      </c>
    </row>
    <row r="37" spans="1:2" x14ac:dyDescent="0.3">
      <c r="A37" t="s">
        <v>242</v>
      </c>
      <c r="B37">
        <v>554699.69999999995</v>
      </c>
    </row>
    <row r="38" spans="1:2" x14ac:dyDescent="0.3">
      <c r="A38" t="s">
        <v>243</v>
      </c>
      <c r="B38">
        <v>607399.67000000004</v>
      </c>
    </row>
    <row r="39" spans="1:2" x14ac:dyDescent="0.3">
      <c r="A39" t="s">
        <v>244</v>
      </c>
      <c r="B39">
        <v>648247.65</v>
      </c>
    </row>
    <row r="40" spans="1:2" x14ac:dyDescent="0.3">
      <c r="A40" t="s">
        <v>245</v>
      </c>
      <c r="B40">
        <v>987765.37</v>
      </c>
    </row>
    <row r="41" spans="1:2" x14ac:dyDescent="0.3">
      <c r="A41" t="s">
        <v>246</v>
      </c>
      <c r="B41">
        <v>726033.19</v>
      </c>
    </row>
    <row r="42" spans="1:2" x14ac:dyDescent="0.3">
      <c r="A42" t="s">
        <v>247</v>
      </c>
      <c r="B42">
        <v>924645</v>
      </c>
    </row>
    <row r="43" spans="1:2" x14ac:dyDescent="0.3">
      <c r="A43" t="s">
        <v>248</v>
      </c>
      <c r="B43">
        <v>826437.13</v>
      </c>
    </row>
    <row r="44" spans="1:2" x14ac:dyDescent="0.3">
      <c r="A44" t="s">
        <v>249</v>
      </c>
      <c r="B44">
        <v>953356.25</v>
      </c>
    </row>
    <row r="45" spans="1:2" x14ac:dyDescent="0.3">
      <c r="A45" t="s">
        <v>250</v>
      </c>
      <c r="B45">
        <v>973534.09</v>
      </c>
    </row>
    <row r="46" spans="1:2" x14ac:dyDescent="0.3">
      <c r="A46" t="s">
        <v>251</v>
      </c>
      <c r="B46">
        <v>977544.69</v>
      </c>
    </row>
    <row r="47" spans="1:2" x14ac:dyDescent="0.3">
      <c r="A47" t="s">
        <v>252</v>
      </c>
      <c r="B47">
        <v>856077.86</v>
      </c>
    </row>
    <row r="48" spans="1:2" x14ac:dyDescent="0.3">
      <c r="A48" t="s">
        <v>253</v>
      </c>
      <c r="B48">
        <v>867953.46</v>
      </c>
    </row>
    <row r="49" spans="1:7" x14ac:dyDescent="0.3">
      <c r="A49" t="s">
        <v>254</v>
      </c>
      <c r="B49">
        <v>838576.64000000001</v>
      </c>
    </row>
    <row r="52" spans="1:7" ht="18.5" x14ac:dyDescent="0.45">
      <c r="A52" s="55" t="s">
        <v>377</v>
      </c>
    </row>
    <row r="53" spans="1:7" ht="29" x14ac:dyDescent="0.3">
      <c r="A53" s="10" t="s">
        <v>257</v>
      </c>
      <c r="B53" s="10" t="s">
        <v>258</v>
      </c>
      <c r="C53" s="10" t="s">
        <v>259</v>
      </c>
      <c r="D53" s="10" t="s">
        <v>234</v>
      </c>
      <c r="E53" s="10" t="s">
        <v>260</v>
      </c>
      <c r="F53" s="10" t="s">
        <v>261</v>
      </c>
      <c r="G53" s="10" t="s">
        <v>262</v>
      </c>
    </row>
    <row r="54" spans="1:7" x14ac:dyDescent="0.3">
      <c r="A54" t="s">
        <v>264</v>
      </c>
      <c r="B54">
        <v>15151</v>
      </c>
      <c r="C54">
        <v>0.16200000000000001</v>
      </c>
      <c r="D54">
        <v>4155457.5</v>
      </c>
      <c r="E54">
        <v>0.314</v>
      </c>
      <c r="F54">
        <v>274.3</v>
      </c>
      <c r="G54">
        <v>90.9</v>
      </c>
    </row>
    <row r="55" spans="1:7" x14ac:dyDescent="0.3">
      <c r="A55" t="s">
        <v>266</v>
      </c>
      <c r="B55">
        <v>21975</v>
      </c>
      <c r="C55">
        <v>0.23499999999999999</v>
      </c>
      <c r="D55">
        <v>4688537.4000000004</v>
      </c>
      <c r="E55">
        <v>0.35499999999999998</v>
      </c>
      <c r="F55">
        <v>213.4</v>
      </c>
      <c r="G55">
        <v>393.2</v>
      </c>
    </row>
    <row r="56" spans="1:7" x14ac:dyDescent="0.3">
      <c r="A56" t="s">
        <v>268</v>
      </c>
      <c r="B56">
        <v>7612</v>
      </c>
      <c r="C56">
        <v>8.199999999999999E-2</v>
      </c>
      <c r="D56">
        <v>675660.2</v>
      </c>
      <c r="E56">
        <v>5.0999999999999997E-2</v>
      </c>
      <c r="F56">
        <v>88.8</v>
      </c>
      <c r="G56">
        <v>90.1</v>
      </c>
    </row>
    <row r="57" spans="1:7" x14ac:dyDescent="0.3">
      <c r="A57" t="s">
        <v>270</v>
      </c>
      <c r="B57">
        <v>18672</v>
      </c>
      <c r="C57">
        <v>0.2</v>
      </c>
      <c r="D57">
        <v>2507492.9</v>
      </c>
      <c r="E57">
        <v>0.19</v>
      </c>
      <c r="F57">
        <v>134.30000000000001</v>
      </c>
      <c r="G57">
        <v>219.4</v>
      </c>
    </row>
    <row r="58" spans="1:7" x14ac:dyDescent="0.3">
      <c r="A58" t="s">
        <v>272</v>
      </c>
      <c r="B58">
        <v>14579</v>
      </c>
      <c r="C58">
        <v>0.156</v>
      </c>
      <c r="D58">
        <v>576513.30000000005</v>
      </c>
      <c r="E58">
        <v>4.3999999999999997E-2</v>
      </c>
      <c r="F58">
        <v>39.5</v>
      </c>
      <c r="G58">
        <v>88.8</v>
      </c>
    </row>
    <row r="59" spans="1:7" x14ac:dyDescent="0.3">
      <c r="A59" t="s">
        <v>274</v>
      </c>
      <c r="B59">
        <v>15369</v>
      </c>
      <c r="C59">
        <v>0.16500000000000001</v>
      </c>
      <c r="D59">
        <v>617836.69999999995</v>
      </c>
      <c r="E59">
        <v>4.7E-2</v>
      </c>
      <c r="F59">
        <v>40.200000000000003</v>
      </c>
      <c r="G59">
        <v>395.5</v>
      </c>
    </row>
    <row r="62" spans="1:7" ht="18.5" x14ac:dyDescent="0.45">
      <c r="A62" s="55" t="s">
        <v>378</v>
      </c>
    </row>
    <row r="63" spans="1:7" ht="29" x14ac:dyDescent="0.3">
      <c r="A63" s="10" t="s">
        <v>379</v>
      </c>
      <c r="B63" s="10" t="s">
        <v>218</v>
      </c>
      <c r="C63" s="10" t="s">
        <v>380</v>
      </c>
      <c r="D63" s="10" t="s">
        <v>258</v>
      </c>
      <c r="E63" s="10" t="s">
        <v>381</v>
      </c>
      <c r="F63" s="10" t="s">
        <v>382</v>
      </c>
      <c r="G63" s="10" t="s">
        <v>383</v>
      </c>
    </row>
    <row r="64" spans="1:7" x14ac:dyDescent="0.3">
      <c r="A64" t="s">
        <v>327</v>
      </c>
      <c r="B64">
        <v>25455</v>
      </c>
      <c r="C64">
        <v>95.87</v>
      </c>
      <c r="D64">
        <v>23931</v>
      </c>
      <c r="E64">
        <v>2.5100000000000001E-2</v>
      </c>
      <c r="F64">
        <v>2440371</v>
      </c>
      <c r="G64">
        <v>601</v>
      </c>
    </row>
    <row r="65" spans="1:7" x14ac:dyDescent="0.3">
      <c r="A65" t="s">
        <v>328</v>
      </c>
      <c r="B65">
        <v>22874</v>
      </c>
      <c r="C65">
        <v>134.22999999999999</v>
      </c>
      <c r="D65">
        <v>21502</v>
      </c>
      <c r="E65">
        <v>2.81E-2</v>
      </c>
      <c r="F65">
        <v>3070377</v>
      </c>
      <c r="G65">
        <v>604</v>
      </c>
    </row>
    <row r="66" spans="1:7" x14ac:dyDescent="0.3">
      <c r="A66" t="s">
        <v>329</v>
      </c>
      <c r="B66">
        <v>16257</v>
      </c>
      <c r="C66">
        <v>181.32</v>
      </c>
      <c r="D66">
        <v>15173</v>
      </c>
      <c r="E66">
        <v>3.1800000000000002E-2</v>
      </c>
      <c r="F66">
        <v>2947719</v>
      </c>
      <c r="G66">
        <v>483</v>
      </c>
    </row>
    <row r="67" spans="1:7" x14ac:dyDescent="0.3">
      <c r="A67" t="s">
        <v>330</v>
      </c>
      <c r="B67">
        <v>11866</v>
      </c>
      <c r="C67">
        <v>333.83</v>
      </c>
      <c r="D67">
        <v>10966</v>
      </c>
      <c r="E67">
        <v>4.1300000000000003E-2</v>
      </c>
      <c r="F67">
        <v>3961227</v>
      </c>
      <c r="G67">
        <v>453</v>
      </c>
    </row>
    <row r="68" spans="1:7" x14ac:dyDescent="0.3">
      <c r="A68" t="s">
        <v>331</v>
      </c>
      <c r="B68">
        <v>341</v>
      </c>
      <c r="C68">
        <v>358.34</v>
      </c>
      <c r="D68">
        <v>311</v>
      </c>
      <c r="E68">
        <v>4.1799999999999997E-2</v>
      </c>
      <c r="F68">
        <v>122194</v>
      </c>
      <c r="G68">
        <v>13</v>
      </c>
    </row>
    <row r="71" spans="1:7" ht="18.5" x14ac:dyDescent="0.45">
      <c r="A71" s="55" t="s">
        <v>384</v>
      </c>
    </row>
    <row r="72" spans="1:7" ht="29" x14ac:dyDescent="0.3">
      <c r="A72" s="10" t="s">
        <v>334</v>
      </c>
      <c r="B72" s="10" t="s">
        <v>335</v>
      </c>
      <c r="C72" s="10" t="s">
        <v>336</v>
      </c>
      <c r="D72" s="10" t="s">
        <v>337</v>
      </c>
    </row>
    <row r="73" spans="1:7" x14ac:dyDescent="0.3">
      <c r="A73" t="s">
        <v>138</v>
      </c>
      <c r="B73">
        <v>8.8000000000000007</v>
      </c>
      <c r="C73">
        <v>19.100000000000001</v>
      </c>
      <c r="D73">
        <v>10.3</v>
      </c>
    </row>
    <row r="74" spans="1:7" x14ac:dyDescent="0.3">
      <c r="A74" t="s">
        <v>146</v>
      </c>
      <c r="B74">
        <v>12</v>
      </c>
      <c r="C74">
        <v>24.5</v>
      </c>
      <c r="D74">
        <v>12.5</v>
      </c>
    </row>
    <row r="75" spans="1:7" x14ac:dyDescent="0.3">
      <c r="A75" t="s">
        <v>338</v>
      </c>
      <c r="B75">
        <v>12</v>
      </c>
      <c r="C75">
        <v>24.6</v>
      </c>
      <c r="D75">
        <v>12.6</v>
      </c>
    </row>
    <row r="76" spans="1:7" x14ac:dyDescent="0.3">
      <c r="A76" t="s">
        <v>339</v>
      </c>
      <c r="B76">
        <v>13</v>
      </c>
      <c r="C76">
        <v>24.3</v>
      </c>
      <c r="D76">
        <v>11.3</v>
      </c>
    </row>
    <row r="77" spans="1:7" x14ac:dyDescent="0.3">
      <c r="A77" t="s">
        <v>142</v>
      </c>
      <c r="B77">
        <v>15</v>
      </c>
      <c r="C77">
        <v>25.8</v>
      </c>
      <c r="D77">
        <v>10.8</v>
      </c>
    </row>
    <row r="78" spans="1:7" x14ac:dyDescent="0.3">
      <c r="A78" t="s">
        <v>340</v>
      </c>
      <c r="B78">
        <v>15.3</v>
      </c>
      <c r="C78">
        <v>26.4</v>
      </c>
      <c r="D78">
        <v>11.1</v>
      </c>
    </row>
    <row r="79" spans="1:7" x14ac:dyDescent="0.3">
      <c r="A79" t="s">
        <v>341</v>
      </c>
      <c r="B79">
        <v>15.3</v>
      </c>
      <c r="C79">
        <v>28.5</v>
      </c>
      <c r="D79">
        <v>13.2</v>
      </c>
    </row>
    <row r="80" spans="1:7" x14ac:dyDescent="0.3">
      <c r="A80" t="s">
        <v>342</v>
      </c>
      <c r="B80">
        <v>15.6</v>
      </c>
      <c r="C80">
        <v>27.1</v>
      </c>
      <c r="D80">
        <v>11.5</v>
      </c>
    </row>
    <row r="81" spans="1:14" x14ac:dyDescent="0.3">
      <c r="A81" t="s">
        <v>343</v>
      </c>
      <c r="B81">
        <v>15.6</v>
      </c>
      <c r="C81">
        <v>26</v>
      </c>
      <c r="D81">
        <v>10.4</v>
      </c>
    </row>
    <row r="82" spans="1:14" x14ac:dyDescent="0.3">
      <c r="A82" t="s">
        <v>344</v>
      </c>
      <c r="B82">
        <v>15.8</v>
      </c>
      <c r="C82">
        <v>25.6</v>
      </c>
      <c r="D82">
        <v>9.8000000000000007</v>
      </c>
    </row>
    <row r="83" spans="1:14" x14ac:dyDescent="0.3">
      <c r="A83" t="s">
        <v>345</v>
      </c>
      <c r="B83">
        <v>17.7</v>
      </c>
      <c r="C83">
        <v>29.1</v>
      </c>
      <c r="D83">
        <v>11.4</v>
      </c>
    </row>
    <row r="84" spans="1:14" x14ac:dyDescent="0.3">
      <c r="A84" t="s">
        <v>346</v>
      </c>
      <c r="B84">
        <v>18.100000000000001</v>
      </c>
      <c r="C84">
        <v>31.7</v>
      </c>
      <c r="D84">
        <v>13.6</v>
      </c>
    </row>
    <row r="85" spans="1:14" x14ac:dyDescent="0.3">
      <c r="A85" t="s">
        <v>347</v>
      </c>
      <c r="B85">
        <v>18.399999999999999</v>
      </c>
      <c r="C85">
        <v>31.1</v>
      </c>
      <c r="D85">
        <v>12.7</v>
      </c>
    </row>
    <row r="86" spans="1:14" x14ac:dyDescent="0.3">
      <c r="A86" t="s">
        <v>348</v>
      </c>
      <c r="B86">
        <v>19.3</v>
      </c>
      <c r="C86">
        <v>29.4</v>
      </c>
      <c r="D86">
        <v>10.1</v>
      </c>
    </row>
    <row r="87" spans="1:14" x14ac:dyDescent="0.3">
      <c r="A87" t="s">
        <v>349</v>
      </c>
      <c r="B87">
        <v>19.3</v>
      </c>
      <c r="C87">
        <v>32.200000000000003</v>
      </c>
      <c r="D87">
        <v>12.9</v>
      </c>
    </row>
    <row r="90" spans="1:14" ht="18.5" x14ac:dyDescent="0.45">
      <c r="A90" s="55" t="s">
        <v>385</v>
      </c>
    </row>
    <row r="91" spans="1:14" x14ac:dyDescent="0.3">
      <c r="A91" s="10" t="s">
        <v>278</v>
      </c>
      <c r="B91" s="10" t="s">
        <v>279</v>
      </c>
      <c r="C91" s="10" t="s">
        <v>280</v>
      </c>
      <c r="D91" s="10" t="s">
        <v>281</v>
      </c>
      <c r="E91" s="10" t="s">
        <v>282</v>
      </c>
      <c r="F91" s="10" t="s">
        <v>283</v>
      </c>
      <c r="G91" s="10" t="s">
        <v>284</v>
      </c>
      <c r="H91" s="10" t="s">
        <v>285</v>
      </c>
      <c r="I91" s="10" t="s">
        <v>286</v>
      </c>
      <c r="J91" s="10" t="s">
        <v>287</v>
      </c>
      <c r="K91" s="10" t="s">
        <v>288</v>
      </c>
      <c r="L91" s="10" t="s">
        <v>289</v>
      </c>
      <c r="M91" s="10" t="s">
        <v>290</v>
      </c>
      <c r="N91" s="10" t="s">
        <v>291</v>
      </c>
    </row>
    <row r="92" spans="1:14" x14ac:dyDescent="0.3">
      <c r="A92" t="s">
        <v>235</v>
      </c>
      <c r="B92">
        <v>1</v>
      </c>
      <c r="C92">
        <v>2.7894002789400278E-3</v>
      </c>
      <c r="D92">
        <v>2.7894002789400278E-3</v>
      </c>
      <c r="E92">
        <v>1.3947001394700139E-3</v>
      </c>
      <c r="F92">
        <v>4.1841004184100406E-3</v>
      </c>
      <c r="G92">
        <v>1.3947001394700139E-3</v>
      </c>
      <c r="H92">
        <v>4.1841004184100406E-3</v>
      </c>
      <c r="I92">
        <v>1.3947001394700139E-3</v>
      </c>
      <c r="J92">
        <v>1.3947001394700139E-3</v>
      </c>
      <c r="L92">
        <v>4.1841004184100406E-3</v>
      </c>
      <c r="M92">
        <v>1.3947001394700139E-3</v>
      </c>
      <c r="N92">
        <v>6.9735006973500706E-3</v>
      </c>
    </row>
    <row r="93" spans="1:14" x14ac:dyDescent="0.3">
      <c r="A93" t="s">
        <v>236</v>
      </c>
      <c r="B93">
        <v>1</v>
      </c>
      <c r="C93">
        <v>1.842751842751843E-3</v>
      </c>
      <c r="D93">
        <v>3.0712530712530711E-3</v>
      </c>
      <c r="E93">
        <v>1.228501228501228E-3</v>
      </c>
      <c r="F93">
        <v>4.2997542997542998E-3</v>
      </c>
      <c r="G93">
        <v>1.228501228501228E-3</v>
      </c>
      <c r="H93">
        <v>2.4570024570024569E-3</v>
      </c>
      <c r="I93">
        <v>1.842751842751843E-3</v>
      </c>
      <c r="J93">
        <v>1.228501228501228E-3</v>
      </c>
      <c r="K93">
        <v>1.842751842751843E-3</v>
      </c>
      <c r="L93">
        <v>1.228501228501228E-3</v>
      </c>
      <c r="M93">
        <v>3.0712530712530711E-3</v>
      </c>
      <c r="N93">
        <v>1.228501228501228E-3</v>
      </c>
    </row>
    <row r="94" spans="1:14" x14ac:dyDescent="0.3">
      <c r="A94" t="s">
        <v>237</v>
      </c>
      <c r="B94">
        <v>1</v>
      </c>
      <c r="C94">
        <v>4.3947263284059134E-3</v>
      </c>
      <c r="D94">
        <v>3.595685177786656E-3</v>
      </c>
      <c r="E94">
        <v>3.9952057530962841E-3</v>
      </c>
      <c r="F94">
        <v>3.595685177786656E-3</v>
      </c>
      <c r="G94">
        <v>1.598082301238514E-3</v>
      </c>
      <c r="H94">
        <v>1.598082301238514E-3</v>
      </c>
      <c r="I94">
        <v>3.1961646024770279E-3</v>
      </c>
      <c r="J94">
        <v>3.1961646024770279E-3</v>
      </c>
      <c r="K94">
        <v>7.9904115061925688E-4</v>
      </c>
      <c r="L94">
        <v>3.595685177786656E-3</v>
      </c>
      <c r="M94">
        <v>1.198561725928885E-3</v>
      </c>
      <c r="N94">
        <v>1.997602876548142E-3</v>
      </c>
    </row>
    <row r="95" spans="1:14" x14ac:dyDescent="0.3">
      <c r="A95" t="s">
        <v>238</v>
      </c>
      <c r="B95">
        <v>1</v>
      </c>
      <c r="C95">
        <v>6.2056737588652494E-3</v>
      </c>
      <c r="D95">
        <v>2.2163120567375888E-3</v>
      </c>
      <c r="E95">
        <v>1.7730496453900711E-3</v>
      </c>
      <c r="F95">
        <v>2.6595744680851059E-3</v>
      </c>
      <c r="G95">
        <v>2.6595744680851059E-3</v>
      </c>
      <c r="H95">
        <v>3.5460992907801422E-3</v>
      </c>
      <c r="I95">
        <v>3.1028368794326238E-3</v>
      </c>
      <c r="J95">
        <v>3.1028368794326238E-3</v>
      </c>
      <c r="K95">
        <v>1.7730496453900711E-3</v>
      </c>
      <c r="L95">
        <v>2.6595744680851059E-3</v>
      </c>
      <c r="M95">
        <v>8.8652482269503544E-4</v>
      </c>
      <c r="N95">
        <v>4.4326241134751772E-4</v>
      </c>
    </row>
    <row r="96" spans="1:14" x14ac:dyDescent="0.3">
      <c r="A96" t="s">
        <v>239</v>
      </c>
      <c r="B96">
        <v>1</v>
      </c>
      <c r="C96">
        <v>4.6363372935381052E-3</v>
      </c>
      <c r="D96">
        <v>4.6363372935381052E-3</v>
      </c>
      <c r="E96">
        <v>2.8977108084613161E-3</v>
      </c>
      <c r="F96">
        <v>2.8977108084613161E-3</v>
      </c>
      <c r="G96">
        <v>3.1874818893074469E-3</v>
      </c>
      <c r="H96">
        <v>4.0567951318458417E-3</v>
      </c>
      <c r="I96">
        <v>1.448855404230658E-3</v>
      </c>
      <c r="J96">
        <v>2.6079397276151839E-3</v>
      </c>
      <c r="K96">
        <v>2.6079397276151839E-3</v>
      </c>
      <c r="L96">
        <v>2.6079397276151839E-3</v>
      </c>
      <c r="M96">
        <v>3.4772529701535791E-3</v>
      </c>
      <c r="N96">
        <v>2.318168646769053E-3</v>
      </c>
    </row>
    <row r="97" spans="1:14" x14ac:dyDescent="0.3">
      <c r="A97" t="s">
        <v>240</v>
      </c>
      <c r="B97">
        <v>1</v>
      </c>
      <c r="C97">
        <v>4.9390846229832074E-3</v>
      </c>
      <c r="D97">
        <v>3.9512676983865661E-3</v>
      </c>
      <c r="E97">
        <v>4.2805400065854459E-3</v>
      </c>
      <c r="F97">
        <v>2.9634507737899252E-3</v>
      </c>
      <c r="G97">
        <v>3.9512676983865661E-3</v>
      </c>
      <c r="H97">
        <v>3.6219953901876849E-3</v>
      </c>
      <c r="I97">
        <v>2.3049061573921629E-3</v>
      </c>
      <c r="J97">
        <v>1.317089232795522E-3</v>
      </c>
      <c r="K97">
        <v>1.975633849193283E-3</v>
      </c>
      <c r="L97">
        <v>2.9634507737899252E-3</v>
      </c>
      <c r="M97">
        <v>3.6219953901876849E-3</v>
      </c>
      <c r="N97">
        <v>1.6463615409944021E-3</v>
      </c>
    </row>
    <row r="98" spans="1:14" x14ac:dyDescent="0.3">
      <c r="A98" t="s">
        <v>241</v>
      </c>
      <c r="B98">
        <v>1</v>
      </c>
      <c r="C98">
        <v>5.3304904051172707E-3</v>
      </c>
      <c r="D98">
        <v>3.4648187633262262E-3</v>
      </c>
      <c r="E98">
        <v>2.398720682302772E-3</v>
      </c>
      <c r="F98">
        <v>2.9317697228144991E-3</v>
      </c>
      <c r="G98">
        <v>2.1321961620469078E-3</v>
      </c>
      <c r="H98">
        <v>3.198294243070362E-3</v>
      </c>
      <c r="I98">
        <v>1.0660980810234539E-3</v>
      </c>
      <c r="J98">
        <v>1.865671641791045E-3</v>
      </c>
      <c r="K98">
        <v>2.6652452025586349E-3</v>
      </c>
      <c r="L98">
        <v>2.1321961620469078E-3</v>
      </c>
      <c r="M98">
        <v>2.9317697228144991E-3</v>
      </c>
      <c r="N98">
        <v>1.3326226012793181E-3</v>
      </c>
    </row>
    <row r="99" spans="1:14" x14ac:dyDescent="0.3">
      <c r="A99" t="s">
        <v>242</v>
      </c>
      <c r="B99">
        <v>1</v>
      </c>
      <c r="C99">
        <v>6.9016514666009367E-3</v>
      </c>
      <c r="D99">
        <v>3.4508257333004679E-3</v>
      </c>
      <c r="E99">
        <v>2.7113630761646541E-3</v>
      </c>
      <c r="F99">
        <v>3.4508257333004679E-3</v>
      </c>
      <c r="G99">
        <v>5.1762385999507034E-3</v>
      </c>
      <c r="H99">
        <v>2.957850628543258E-3</v>
      </c>
      <c r="I99">
        <v>2.7113630761646541E-3</v>
      </c>
      <c r="J99">
        <v>1.478925314271629E-3</v>
      </c>
      <c r="K99">
        <v>1.478925314271629E-3</v>
      </c>
      <c r="L99">
        <v>2.4648755237860489E-3</v>
      </c>
      <c r="M99">
        <v>1.9719004190288389E-3</v>
      </c>
      <c r="N99">
        <v>1.232437761893024E-3</v>
      </c>
    </row>
    <row r="100" spans="1:14" x14ac:dyDescent="0.3">
      <c r="A100" t="s">
        <v>243</v>
      </c>
      <c r="B100">
        <v>1</v>
      </c>
      <c r="C100">
        <v>6.993006993006993E-3</v>
      </c>
      <c r="D100">
        <v>5.4945054945054949E-3</v>
      </c>
      <c r="E100">
        <v>2.747252747252747E-3</v>
      </c>
      <c r="F100">
        <v>4.4955044955044959E-3</v>
      </c>
      <c r="G100">
        <v>2.247752247752248E-3</v>
      </c>
      <c r="H100">
        <v>2.247752247752248E-3</v>
      </c>
      <c r="I100">
        <v>2.4975024975024979E-3</v>
      </c>
      <c r="J100">
        <v>2.747252747252747E-3</v>
      </c>
      <c r="K100">
        <v>1.748251748251748E-3</v>
      </c>
      <c r="L100">
        <v>2.4975024975024979E-3</v>
      </c>
      <c r="M100">
        <v>7.4925074925074925E-4</v>
      </c>
    </row>
    <row r="101" spans="1:14" x14ac:dyDescent="0.3">
      <c r="A101" t="s">
        <v>244</v>
      </c>
      <c r="B101">
        <v>1</v>
      </c>
      <c r="C101">
        <v>7.1626617375231049E-3</v>
      </c>
      <c r="D101">
        <v>2.5415896487985209E-3</v>
      </c>
      <c r="E101">
        <v>9.2421441774491681E-4</v>
      </c>
      <c r="F101">
        <v>2.3105360443622918E-3</v>
      </c>
      <c r="G101">
        <v>2.0794824399260631E-3</v>
      </c>
      <c r="H101">
        <v>2.0794824399260631E-3</v>
      </c>
      <c r="I101">
        <v>3.6968576709796668E-3</v>
      </c>
      <c r="J101">
        <v>2.77264325323475E-3</v>
      </c>
      <c r="K101">
        <v>1.8484288354898341E-3</v>
      </c>
      <c r="L101">
        <v>2.0794824399260631E-3</v>
      </c>
    </row>
    <row r="102" spans="1:14" x14ac:dyDescent="0.3">
      <c r="A102" t="s">
        <v>245</v>
      </c>
      <c r="B102">
        <v>1</v>
      </c>
      <c r="C102">
        <v>5.6657223796033997E-3</v>
      </c>
      <c r="D102">
        <v>3.6827195467422102E-3</v>
      </c>
      <c r="E102">
        <v>1.69971671388102E-3</v>
      </c>
      <c r="F102">
        <v>1.69971671388102E-3</v>
      </c>
      <c r="G102">
        <v>1.8413597733711051E-3</v>
      </c>
      <c r="H102">
        <v>1.13314447592068E-3</v>
      </c>
      <c r="I102">
        <v>1.8413597733711051E-3</v>
      </c>
      <c r="J102">
        <v>1.2747875354107651E-3</v>
      </c>
      <c r="K102">
        <v>5.6657223796033991E-4</v>
      </c>
    </row>
    <row r="103" spans="1:14" x14ac:dyDescent="0.3">
      <c r="A103" t="s">
        <v>246</v>
      </c>
      <c r="B103">
        <v>1</v>
      </c>
      <c r="C103">
        <v>2.060696890221056E-3</v>
      </c>
      <c r="D103">
        <v>2.8100412139378042E-3</v>
      </c>
      <c r="E103">
        <v>3.3720494567253648E-3</v>
      </c>
      <c r="F103">
        <v>2.6227051330086171E-3</v>
      </c>
      <c r="G103">
        <v>2.060696890221056E-3</v>
      </c>
      <c r="H103">
        <v>1.686024728362683E-3</v>
      </c>
      <c r="I103">
        <v>1.8733608092918699E-4</v>
      </c>
      <c r="J103">
        <v>1.87336080929187E-3</v>
      </c>
    </row>
    <row r="104" spans="1:14" x14ac:dyDescent="0.3">
      <c r="A104" t="s">
        <v>247</v>
      </c>
      <c r="B104">
        <v>1</v>
      </c>
      <c r="C104">
        <v>3.3615901783104361E-3</v>
      </c>
      <c r="D104">
        <v>3.6539023677287339E-3</v>
      </c>
      <c r="E104">
        <v>2.9231218941829871E-3</v>
      </c>
      <c r="F104">
        <v>2.9231218941829871E-3</v>
      </c>
      <c r="G104">
        <v>1.6077170418006431E-3</v>
      </c>
      <c r="H104">
        <v>1.7538731365097919E-3</v>
      </c>
      <c r="I104">
        <v>2.3384975153463898E-3</v>
      </c>
    </row>
    <row r="105" spans="1:14" x14ac:dyDescent="0.3">
      <c r="A105" t="s">
        <v>248</v>
      </c>
      <c r="B105">
        <v>1</v>
      </c>
      <c r="C105">
        <v>3.4987277353689568E-3</v>
      </c>
      <c r="D105">
        <v>3.9758269720101781E-3</v>
      </c>
      <c r="E105">
        <v>3.0216284987277351E-3</v>
      </c>
      <c r="F105">
        <v>2.5445292620865142E-3</v>
      </c>
      <c r="G105">
        <v>2.2264631043257001E-3</v>
      </c>
      <c r="H105">
        <v>2.067430025445292E-3</v>
      </c>
    </row>
    <row r="106" spans="1:14" x14ac:dyDescent="0.3">
      <c r="A106" t="s">
        <v>249</v>
      </c>
      <c r="B106">
        <v>1</v>
      </c>
      <c r="C106">
        <v>3.9858281665190436E-3</v>
      </c>
      <c r="D106">
        <v>2.9524653085326248E-3</v>
      </c>
      <c r="E106">
        <v>2.9524653085326248E-3</v>
      </c>
      <c r="F106">
        <v>1.1809861234130499E-3</v>
      </c>
      <c r="G106">
        <v>1.1809861234130499E-3</v>
      </c>
    </row>
    <row r="107" spans="1:14" x14ac:dyDescent="0.3">
      <c r="A107" t="s">
        <v>250</v>
      </c>
      <c r="B107">
        <v>1</v>
      </c>
      <c r="C107">
        <v>5.9252506836827709E-3</v>
      </c>
      <c r="D107">
        <v>3.038590094196293E-3</v>
      </c>
      <c r="E107">
        <v>2.4308720753570341E-3</v>
      </c>
      <c r="F107">
        <v>1.3673655423883321E-3</v>
      </c>
    </row>
    <row r="108" spans="1:14" x14ac:dyDescent="0.3">
      <c r="A108" t="s">
        <v>251</v>
      </c>
      <c r="B108">
        <v>1</v>
      </c>
      <c r="C108">
        <v>5.2259452812788197E-3</v>
      </c>
      <c r="D108">
        <v>2.6129726406394099E-3</v>
      </c>
      <c r="E108">
        <v>1.8444512757454659E-3</v>
      </c>
    </row>
    <row r="109" spans="1:14" x14ac:dyDescent="0.3">
      <c r="A109" t="s">
        <v>252</v>
      </c>
      <c r="B109">
        <v>1</v>
      </c>
      <c r="C109">
        <v>4.2531473290234774E-3</v>
      </c>
      <c r="D109">
        <v>2.722014290575025E-3</v>
      </c>
    </row>
    <row r="110" spans="1:14" x14ac:dyDescent="0.3">
      <c r="A110" t="s">
        <v>253</v>
      </c>
      <c r="B110">
        <v>1</v>
      </c>
      <c r="C110">
        <v>5.2109598251807044E-3</v>
      </c>
    </row>
    <row r="111" spans="1:14" x14ac:dyDescent="0.3">
      <c r="A111" t="s">
        <v>254</v>
      </c>
      <c r="B111">
        <v>1</v>
      </c>
    </row>
    <row r="114" spans="1:4" ht="18.5" x14ac:dyDescent="0.45">
      <c r="A114" s="55" t="s">
        <v>386</v>
      </c>
    </row>
    <row r="115" spans="1:4" x14ac:dyDescent="0.3">
      <c r="A115" s="10" t="s">
        <v>222</v>
      </c>
      <c r="B115" s="10" t="s">
        <v>218</v>
      </c>
      <c r="C115" s="10" t="s">
        <v>223</v>
      </c>
    </row>
    <row r="116" spans="1:4" x14ac:dyDescent="0.3">
      <c r="A116" t="s">
        <v>110</v>
      </c>
      <c r="B116" s="56">
        <v>96478</v>
      </c>
      <c r="C116" s="62">
        <f>B116/SUM($B$116:$B$120)</f>
        <v>0.97020343721402635</v>
      </c>
    </row>
    <row r="117" spans="1:4" x14ac:dyDescent="0.3">
      <c r="A117" t="s">
        <v>224</v>
      </c>
      <c r="B117" s="56">
        <v>1107</v>
      </c>
      <c r="C117" s="62">
        <f>B117/SUM($B$116:$B$120)</f>
        <v>1.1132229161010046E-2</v>
      </c>
    </row>
    <row r="118" spans="1:4" x14ac:dyDescent="0.3">
      <c r="A118" t="s">
        <v>225</v>
      </c>
      <c r="B118" s="56">
        <v>625</v>
      </c>
      <c r="C118" s="62">
        <f>B118/SUM($B$116:$B$120)</f>
        <v>6.2851338984925738E-3</v>
      </c>
    </row>
    <row r="119" spans="1:4" x14ac:dyDescent="0.3">
      <c r="A119" t="s">
        <v>226</v>
      </c>
      <c r="B119" s="56">
        <v>609</v>
      </c>
      <c r="C119" s="62">
        <f>B119/SUM($B$116:$B$120)</f>
        <v>6.1242344706911632E-3</v>
      </c>
    </row>
    <row r="120" spans="1:4" x14ac:dyDescent="0.3">
      <c r="A120" t="s">
        <v>227</v>
      </c>
      <c r="B120" s="56">
        <v>622</v>
      </c>
      <c r="C120" s="62">
        <f>B120/SUM($B$116:$B$120)</f>
        <v>6.2549652557798091E-3</v>
      </c>
    </row>
    <row r="123" spans="1:4" ht="18.5" x14ac:dyDescent="0.45">
      <c r="A123" s="55" t="s">
        <v>387</v>
      </c>
    </row>
    <row r="124" spans="1:4" x14ac:dyDescent="0.3">
      <c r="A124" s="10" t="s">
        <v>229</v>
      </c>
      <c r="B124" s="10" t="s">
        <v>218</v>
      </c>
      <c r="C124" s="10" t="s">
        <v>223</v>
      </c>
      <c r="D124" s="10" t="s">
        <v>230</v>
      </c>
    </row>
    <row r="125" spans="1:4" x14ac:dyDescent="0.3">
      <c r="A125" t="s">
        <v>172</v>
      </c>
      <c r="B125" s="56">
        <v>76505</v>
      </c>
      <c r="C125" s="62">
        <f>B125/SUM($B$125:$B$128)</f>
        <v>0.75238732138115516</v>
      </c>
      <c r="D125" s="61">
        <v>3.51</v>
      </c>
    </row>
    <row r="126" spans="1:4" x14ac:dyDescent="0.3">
      <c r="A126" t="s">
        <v>174</v>
      </c>
      <c r="B126" s="56">
        <v>19784</v>
      </c>
      <c r="C126" s="62">
        <f>B126/SUM($B$125:$B$128)</f>
        <v>0.19456546325344454</v>
      </c>
      <c r="D126" s="61">
        <v>1</v>
      </c>
    </row>
    <row r="127" spans="1:4" x14ac:dyDescent="0.3">
      <c r="A127" t="s">
        <v>176</v>
      </c>
      <c r="B127" s="56">
        <v>3866</v>
      </c>
      <c r="C127" s="62">
        <f>B127/SUM($B$125:$B$128)</f>
        <v>3.8020121357552394E-2</v>
      </c>
      <c r="D127" s="61">
        <v>1</v>
      </c>
    </row>
    <row r="128" spans="1:4" x14ac:dyDescent="0.3">
      <c r="A128" t="s">
        <v>231</v>
      </c>
      <c r="B128" s="56">
        <v>1528</v>
      </c>
      <c r="C128" s="62">
        <f>B128/SUM($B$125:$B$128)</f>
        <v>1.502709400784792E-2</v>
      </c>
      <c r="D128" s="61">
        <v>1</v>
      </c>
    </row>
    <row r="131" spans="1:2" ht="18.5" x14ac:dyDescent="0.45">
      <c r="A131" s="55" t="s">
        <v>388</v>
      </c>
    </row>
    <row r="132" spans="1:2" x14ac:dyDescent="0.3">
      <c r="A132" s="10" t="s">
        <v>204</v>
      </c>
      <c r="B132" s="10" t="s">
        <v>389</v>
      </c>
    </row>
    <row r="133" spans="1:2" x14ac:dyDescent="0.3">
      <c r="A133" t="s">
        <v>390</v>
      </c>
      <c r="B133" s="56">
        <f>_xlfn.XLOOKUP("At Risk",_data_calc!$A:$A,_data_calc!$B:$B,0)</f>
        <v>21975</v>
      </c>
    </row>
    <row r="134" spans="1:2" x14ac:dyDescent="0.3">
      <c r="A134" t="s">
        <v>391</v>
      </c>
      <c r="B134" s="58">
        <f>_xlfn.XLOOKUP("At Risk",_data_calc!$A:$A,_data_calc!$F:$F,0)</f>
        <v>213.4</v>
      </c>
    </row>
    <row r="135" spans="1:2" x14ac:dyDescent="0.3">
      <c r="A135" t="s">
        <v>392</v>
      </c>
      <c r="B135" s="58">
        <f>_xlfn.XLOOKUP("7-10 installments",_data_calc!$A:$A,_data_calc!$C:$C,0)</f>
        <v>333.83</v>
      </c>
    </row>
    <row r="136" spans="1:2" x14ac:dyDescent="0.3">
      <c r="A136" t="s">
        <v>393</v>
      </c>
      <c r="B136" s="58">
        <f>_xlfn.XLOOKUP("1 (single)",_data_calc!$A:$A,_data_calc!$C:$C,0)</f>
        <v>95.87</v>
      </c>
    </row>
    <row r="137" spans="1:2" x14ac:dyDescent="0.3">
      <c r="A137" t="s">
        <v>394</v>
      </c>
      <c r="B137" s="56">
        <f>B133*0.2*B134*0.5</f>
        <v>468946.5</v>
      </c>
    </row>
    <row r="138" spans="1:2" x14ac:dyDescent="0.3">
      <c r="A138" t="s">
        <v>395</v>
      </c>
      <c r="B138" s="59">
        <f>B135/B136</f>
        <v>3.4821111922394907</v>
      </c>
    </row>
    <row r="139" spans="1:2" x14ac:dyDescent="0.3">
      <c r="A139" t="s">
        <v>10</v>
      </c>
      <c r="B139" s="60">
        <f>_xlfn.XLOOKUP("Cross-month repeat rate",_data_calc!$A:$A,_data_calc!$B:$B,0)</f>
        <v>1.8100000000000002E-2</v>
      </c>
    </row>
  </sheetData>
  <phoneticPr fontId="21" type="noConversion"/>
  <pageMargins left="0.75" right="0.75" top="1" bottom="1" header="0.5" footer="0.5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14BB36-3498-4751-9215-9CF165DBE1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4</vt:i4>
      </vt:variant>
    </vt:vector>
  </HeadingPairs>
  <TitlesOfParts>
    <vt:vector size="15" baseType="lpstr">
      <vt:lpstr>01_Cover</vt:lpstr>
      <vt:lpstr>02_Data_Dictionary</vt:lpstr>
      <vt:lpstr>03_KPI_Dashboard</vt:lpstr>
      <vt:lpstr>04_Revenue_Trend</vt:lpstr>
      <vt:lpstr>05_RFM_Segments</vt:lpstr>
      <vt:lpstr>06_Cohort_Heatmap</vt:lpstr>
      <vt:lpstr>07_ROI_Calculator</vt:lpstr>
      <vt:lpstr>08_Installments</vt:lpstr>
      <vt:lpstr>09_Logistics</vt:lpstr>
      <vt:lpstr>10_Pivot_Analysis</vt:lpstr>
      <vt:lpstr>_data_calc</vt:lpstr>
      <vt:lpstr>ARPU</vt:lpstr>
      <vt:lpstr>At_Risk_Count</vt:lpstr>
      <vt:lpstr>CRM_Cost</vt:lpstr>
      <vt:lpstr>Repeat_Spend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 Jenho</cp:lastModifiedBy>
  <dcterms:created xsi:type="dcterms:W3CDTF">2026-05-07T21:38:07Z</dcterms:created>
  <dcterms:modified xsi:type="dcterms:W3CDTF">2026-05-07T21:39:16Z</dcterms:modified>
</cp:coreProperties>
</file>